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nuto0-my.sharepoint.com/personal/sergio_torres_mar_uniminuto_edu_co/Documents/Documentos/Seto 2026/SETO/sena/Manual SENA Etapa Productiva/manual-aprendiz-sena/Formatos/"/>
    </mc:Choice>
  </mc:AlternateContent>
  <xr:revisionPtr revIDLastSave="50" documentId="13_ncr:1_{83A521C4-0D45-4A49-857A-DD8313A422E6}" xr6:coauthVersionLast="47" xr6:coauthVersionMax="47" xr10:uidLastSave="{767FB18C-4F1A-4FB1-9C38-1B364B026A1E}"/>
  <bookViews>
    <workbookView xWindow="28680" yWindow="-120" windowWidth="29040" windowHeight="15720" xr2:uid="{BC3553EE-4E49-4F2A-B03E-CFAC4EB3009B}"/>
  </bookViews>
  <sheets>
    <sheet name="Formato Visita 1" sheetId="1" r:id="rId1"/>
    <sheet name="BD_SENA" sheetId="5" state="hidden" r:id="rId2"/>
  </sheets>
  <definedNames>
    <definedName name="Análisis_y_Desarrollo_de_Software">#REF!</definedName>
    <definedName name="_xlnm.Print_Area" localSheetId="0">'Formato Visita 1'!$1:$82</definedName>
    <definedName name="LISTA_38362">#REF!</definedName>
    <definedName name="LISTA_38376">#REF!</definedName>
    <definedName name="LISTA_38392">#REF!</definedName>
    <definedName name="program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 a="1"/>
  <c r="K2" i="5" s="1"/>
  <c r="J2" i="5" a="1"/>
  <c r="J2" i="5" s="1"/>
  <c r="I2" i="5" a="1"/>
  <c r="I2" i="5" s="1"/>
  <c r="H2" i="5" a="1"/>
  <c r="H2" i="5" s="1"/>
  <c r="G2" i="5" a="1"/>
  <c r="G2" i="5" s="1"/>
  <c r="F2" i="5" a="1"/>
  <c r="F2" i="5" s="1"/>
  <c r="E2" i="5" a="1"/>
  <c r="E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<sst xmlns="http://schemas.openxmlformats.org/spreadsheetml/2006/main" count="191" uniqueCount="123">
  <si>
    <t>Información general</t>
  </si>
  <si>
    <t>Regional:</t>
  </si>
  <si>
    <t>Distrito Capital</t>
  </si>
  <si>
    <t>Centro de formación:</t>
  </si>
  <si>
    <t>Centro de Servicios Financieros</t>
  </si>
  <si>
    <t>Nivel formativo:</t>
  </si>
  <si>
    <t>Programa de formación:</t>
  </si>
  <si>
    <t> No. Grupo:</t>
  </si>
  <si>
    <t>Modalidad de formación:</t>
  </si>
  <si>
    <t>Presencial</t>
  </si>
  <si>
    <t>X</t>
  </si>
  <si>
    <t>Virtual</t>
  </si>
  <si>
    <t>A Distancia</t>
  </si>
  <si>
    <t>Estrategia formativa:</t>
  </si>
  <si>
    <t>Fecha fin de la etapa lectiva:</t>
  </si>
  <si>
    <t>Datos del aprendiz</t>
  </si>
  <si>
    <t>Nombre completo:</t>
  </si>
  <si>
    <t>Tipo de documento:</t>
  </si>
  <si>
    <t>N° de identificación:</t>
  </si>
  <si>
    <t>Contacto telefónico:</t>
  </si>
  <si>
    <t>Dirección:</t>
  </si>
  <si>
    <t>Correo electrónico personal:</t>
  </si>
  <si>
    <t>Correo electrónico institucional:</t>
  </si>
  <si>
    <t>Alternativa de etapa productiva registrada:</t>
  </si>
  <si>
    <t xml:space="preserve">Fecha de Registro en SofiaPlus: </t>
  </si>
  <si>
    <t>Datos del instructor de seguimiento:</t>
  </si>
  <si>
    <t>Nombre:</t>
  </si>
  <si>
    <t>Sergio Andrés Torres Martínez</t>
  </si>
  <si>
    <t>satorres@sena.edu.co</t>
  </si>
  <si>
    <t xml:space="preserve">Datos del ente co-formador </t>
  </si>
  <si>
    <t>(jefe Inmediato o tutor* y empresa u organización)</t>
  </si>
  <si>
    <t>* Tutor: resolución 0623 del 2020 y 3546 del 2018.</t>
  </si>
  <si>
    <t>Nombre empresa o entidad co-formadora:</t>
  </si>
  <si>
    <t>Nit:</t>
  </si>
  <si>
    <t>Correo electrónico:</t>
  </si>
  <si>
    <t>Nombre del jefe inmediato/ co-formador del aprendiz/tutor:</t>
  </si>
  <si>
    <t>Cargo:</t>
  </si>
  <si>
    <t>Nombre otro contacto:</t>
  </si>
  <si>
    <t>Teléfono institucional (fijo/móvil):</t>
  </si>
  <si>
    <t>Persona en situación de discapacidad</t>
  </si>
  <si>
    <t>(Si aplica)</t>
  </si>
  <si>
    <t>Nombre de la persona que asiste al aprendiz:</t>
  </si>
  <si>
    <r>
      <t>Tipo de asistencia</t>
    </r>
    <r>
      <rPr>
        <i/>
        <sz val="9"/>
        <color theme="1"/>
        <rFont val="Calibri"/>
        <family val="2"/>
      </rPr>
      <t xml:space="preserve"> (lenguaje de señas, apoyo visual, u otros)</t>
    </r>
    <r>
      <rPr>
        <b/>
        <sz val="9"/>
        <color theme="1"/>
        <rFont val="Calibri"/>
        <family val="2"/>
      </rPr>
      <t>:</t>
    </r>
  </si>
  <si>
    <t xml:space="preserve">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</t>
  </si>
  <si>
    <r>
      <t xml:space="preserve">Fecha inicio etapa productiva: </t>
    </r>
    <r>
      <rPr>
        <i/>
        <sz val="9"/>
        <color theme="1"/>
        <rFont val="Calibri"/>
        <family val="2"/>
      </rPr>
      <t>(DD/MM/AA)</t>
    </r>
  </si>
  <si>
    <r>
      <t xml:space="preserve">Fecha fin de etapa productiva: </t>
    </r>
    <r>
      <rPr>
        <i/>
        <sz val="9"/>
        <color theme="1"/>
        <rFont val="Calibri"/>
        <family val="2"/>
      </rPr>
      <t>(DD/MM/AA)</t>
    </r>
  </si>
  <si>
    <t>Fecha de afiliación a la ARL:</t>
  </si>
  <si>
    <t>(DD/MM/AA)</t>
  </si>
  <si>
    <t>Número de póliza ARL:</t>
  </si>
  <si>
    <r>
      <t>Horario</t>
    </r>
    <r>
      <rPr>
        <sz val="9"/>
        <color theme="1"/>
        <rFont val="Calibri"/>
        <family val="2"/>
      </rPr>
      <t>:</t>
    </r>
  </si>
  <si>
    <t xml:space="preserve"> (Indicar si es diurno, nocturno, días de la semana y la hora)</t>
  </si>
  <si>
    <r>
      <t xml:space="preserve">Enlace de grabación del momento 1: </t>
    </r>
    <r>
      <rPr>
        <i/>
        <sz val="9"/>
        <color theme="1"/>
        <rFont val="Calibri"/>
        <family val="2"/>
      </rPr>
      <t>(Aplica si se realiza de forma virtual)</t>
    </r>
  </si>
  <si>
    <t>Concertación plan de trabajo durante la etapa productiva del aprendiz</t>
  </si>
  <si>
    <r>
      <t xml:space="preserve">Competencias a desarrollar </t>
    </r>
    <r>
      <rPr>
        <i/>
        <sz val="9"/>
        <color theme="1"/>
        <rFont val="Calibri"/>
        <family val="2"/>
      </rPr>
      <t>(Competencias del programa relacionadas)</t>
    </r>
  </si>
  <si>
    <t>Resultados de aprendizaje</t>
  </si>
  <si>
    <r>
      <t xml:space="preserve">             Actividades a desarrollar             </t>
    </r>
    <r>
      <rPr>
        <sz val="9"/>
        <color theme="1"/>
        <rFont val="Calibri"/>
        <family val="2"/>
      </rPr>
      <t>(Durante los meses de Etapa Productiva)</t>
    </r>
  </si>
  <si>
    <r>
      <t xml:space="preserve">                Evidencias de aprendizaje                 </t>
    </r>
    <r>
      <rPr>
        <sz val="9"/>
        <color theme="1"/>
        <rFont val="Calibri"/>
        <family val="2"/>
      </rPr>
      <t>(Que generará el Aprendiz de acuerdo con cada Actividad)</t>
    </r>
  </si>
  <si>
    <t>GFPI-F-023 V6.</t>
  </si>
  <si>
    <t>Análisis y Desarrollo de Software</t>
  </si>
  <si>
    <t>Programación de Software</t>
  </si>
  <si>
    <t>PROGRAMA</t>
  </si>
  <si>
    <t>COMPETENCIA</t>
  </si>
  <si>
    <t>RESULTADO DE APRENDIZAJE (RAP)</t>
  </si>
  <si>
    <t>38392 - Establecer requisitos de la solución de software de acuerdo con estándares y procedimiento técnico</t>
  </si>
  <si>
    <t>593346 - 01 CARACTERIZAR LOS PROCESOS DE LA ORGANIZACIÓN DE ACUERDO CON EL SOFTWARE A CONSTRUIR</t>
  </si>
  <si>
    <t>593345 - 04 VALIDAR EL INFORME DE REQUISITOS DE ACUERDO CON LAS NECESIDADES DEL CLIENTE</t>
  </si>
  <si>
    <t>593344 - 02 RECOLECTAR INFORMACIÓN DEL SOFTWARE A CONSTRUIR DE ACUERDO CON LAS NECESIDADES DEL CLIENTE</t>
  </si>
  <si>
    <t>38392 - 03 ESTABLECER LOS REQUISITOS DEL SOFTWARE DE ACUERDO CON LA INFORMACIÓN RECOLECTADA</t>
  </si>
  <si>
    <t>38376 - Evaluar requisitos de la solución de software de acuerdo con metodologías de análisis y estándares</t>
  </si>
  <si>
    <t>592375 - 01 PLANEAR ACTIVIDADES DE ANÁLISIS DE ACUERDO CON LA METODOLOGÍA SELECCIONADA</t>
  </si>
  <si>
    <t>592374 - 04 VERIFICAR LOS MODELOS REALIZADOS EN LA FASE DE ANÁLISIS DE ACUERDO CON LO ESTABLECIDO EN EL INFORME DE REQUISITOS</t>
  </si>
  <si>
    <t>592376 - 03 DESARROLLAR PROCESOS LÓGICOS A TRAVÉS DE LA IMPLEMENTACIÓN DE ALGORITMOS</t>
  </si>
  <si>
    <t>38362 - Diseñar la solución de software de acuerdo con procedimientos y requisitos técnicos</t>
  </si>
  <si>
    <t>593101 - 02 ESTRUCTURAR EL MODELO DE DATOS DEL SOFTWARE DE ACUERDO CON LAS ESPECIFICACIONES DEL ANÁLISIS</t>
  </si>
  <si>
    <t>593103 - 01 ELABORAR LOS ARTEFACTOS DE DISEÑO DEL SOFTWARE SIGUIENDO LAS PRÁCTICAS DE LA METODOLOGÍA SELECCIONADA</t>
  </si>
  <si>
    <t>38368 - Desarrollar la solución de software de acuerdo con el diseño y metodologías de desarrollo</t>
  </si>
  <si>
    <t>593107 - 02 CONSTRUIR LA BASE DE DATOS PARA EL SOFTWARE A PARTIR DEL MODELO DE DATOS</t>
  </si>
  <si>
    <t>593108 - 04 CODIFICAR EL SOFTWARE DE ACUERDO CON EL DISEÑO ESTABLECIDO</t>
  </si>
  <si>
    <t>220501095 - Construir el sistema de información de acuerdo con el diseño y estándares técnicos</t>
  </si>
  <si>
    <t>220501095-01 Codificar los módulos del software de acuerdo con el diseño y estándares técnicos</t>
  </si>
  <si>
    <t>220501095-02 Construir la base de datos de acuerdo con el modelo lógico y el motor seleccionado</t>
  </si>
  <si>
    <t>220501096 - Verificar la calidad del software de acuerdo con el plan de pruebas y estándares</t>
  </si>
  <si>
    <t>220501096-01 Ejecutar las pruebas de software de acuerdo con el plan establecido</t>
  </si>
  <si>
    <t>592373 - 02 MODELAR LAS FUNCIONES DEL SOFTWARE DE ACUERDO CON EL INFORME DE REQUISITOS</t>
  </si>
  <si>
    <t>593102 - 04 VERIFICAR LOS ENTREGABLES DE LA FASE DE DISEÑO DEL SOFTWARE DE ACUERDO CON LO ESTABLECIDO EN EL INFORME DE ANÁLISIS</t>
  </si>
  <si>
    <t>593100 - 03 DETERMINAR LAS CARACTERÍSTICAS TÉCNICAS DE LA INTERFAZ GRÁFICA DEL SOFTWARE ADOPTANDO ESTÁNDARES</t>
  </si>
  <si>
    <t>593106 - 01 PLANEAR ACTIVIDADES DE CONSTRUCCIÓN DEL SOFTWARE DE ACUERDO CON EL DISEÑO ESTABLECIDO</t>
  </si>
  <si>
    <t>593104 - 03 CREAR COMPONENTES FRONT-END DEL SOFTWARE DE ACUERDO CON EL DISEÑO</t>
  </si>
  <si>
    <t>593105 - 05 REALIZAR PRUEBAS AL SOFTWARE PARA VERIFICAR SU FUNCIONALIDAD</t>
  </si>
  <si>
    <t>38369 - Controlar la calidad del servicio de software de acuerdo con los estándares técnicos</t>
  </si>
  <si>
    <t>593146 - 01 INCORPORAR ACTIVIDADES DE ASEGURAMIENTO DE LA CALIDAD DEL SOFTWARE DE ACUERDO CON ESTÁNDARES DE LA INDUSTRIA</t>
  </si>
  <si>
    <t>593144 - 02 VERIFICAR LA CALIDAD DEL SOFTWARE DE ACUERDO CON LAS PRÁCTICAS ASOCIADAS EN LOS PROCESOS DE DESARROLLO</t>
  </si>
  <si>
    <t>593145 - 03 REALIZAR ACTIVIDADES DE MEJORA DE LA CALIDAD DEL SOFTWARE A PARTIR DE LOS RESULTADOS DE LA VERIFICACIÓN</t>
  </si>
  <si>
    <t>38367 - Estructurar propuesta técnica de servicio de tecnología de la información según requisitos técnicos y normativa</t>
  </si>
  <si>
    <t>593060 - 01 DEFINIR ESPECIFICACIONES TÉCNICAS DEL SOFTWARE DE ACUERDO CON LAS CARACTERÍSTICAS DEL SOFTWARE A CONSTRUIR</t>
  </si>
  <si>
    <t>593062 - 02 ELABORAR PROPUESTA TÉCNICA DEL SOFTWARE DE ACUERDO CON LAS ESPECIFICACIONES TÉCNICAS DEFINIDAS</t>
  </si>
  <si>
    <t>38356 - Implementar la solución de software de acuerdo con los requisitos de operación y modelos de referencia</t>
  </si>
  <si>
    <t>593111 - 01 PLANEAR ACTIVIDADES DE IMPLANTACIÓN DEL SOFTWARE DE ACUERDO CON LAS CONDICIONES DEL SISTEMA</t>
  </si>
  <si>
    <t>593109 - 03 DOCUMENTAR EL PROCESO DE IMPLANTACIÓN DE SOFTWARE SIGUIENDO ESTÁNDARES DE CALIDAD</t>
  </si>
  <si>
    <t>593112 - 04 IMPLANTAR EL SOFTWARE DE ACUERDO CON LOS NIVELES DE SERVICIO ESTABLECIDOS CON EL CLIENTE</t>
  </si>
  <si>
    <t>593110 - 02 DESPLEGAR EL SOFTWARE DE ACUERDO CON LA ARQUITECTURA Y LAS POLÍTICAS ESTABLECIDAS</t>
  </si>
  <si>
    <t>220501095-03 Integrar los componentes del software según la arquitectura definida</t>
  </si>
  <si>
    <t>220501095-04 Realizar las pruebas unitarias a los módulos codificados</t>
  </si>
  <si>
    <t>220501096-02 Reportar los defectos encontrados durante la ejecución de las pruebas</t>
  </si>
  <si>
    <t>220501096-03 Ajustar los entregables de software según los resultados de las pruebas</t>
  </si>
  <si>
    <t>220501097 - Desplegar la solución de software de acuerdo con los requisitos de operación y modelos de referencia</t>
  </si>
  <si>
    <t>220501097-01 Elaborar el plan de despliegue de la solución de software</t>
  </si>
  <si>
    <t>220501097-02 Realizar la instalación y configuración del software en el entorno productivo</t>
  </si>
  <si>
    <t>220501101 - Probar el software desarrollado de acuerdo con el plan de pruebas y especificaciones del cliente</t>
  </si>
  <si>
    <t>220501101-01 Validar el cumplimiento de los requisitos del software</t>
  </si>
  <si>
    <t>220501101-02 Documentar los errores y sugerencias de mejora según protocolos</t>
  </si>
  <si>
    <t>37371 - Utilizar herramientas informáticas de acuerdo con las necesidades de manejo de información</t>
  </si>
  <si>
    <t>593154 - 01 ALISTAR HERRAMIENTAS DE TECNOLOGÍAS DE LA INFORMACIÓN Y LA COMUNICACIÓN (TIC), DE ACUERDO CON LAS NECESIDADES DE PROCESAMIENTO DE INFORMACIÓN Y COMUNICACIÓN</t>
  </si>
  <si>
    <r>
      <t xml:space="preserve">Momento N° 3 - Planeación de la Etapa Productiva </t>
    </r>
    <r>
      <rPr>
        <sz val="11"/>
        <color rgb="FFFFFFFF"/>
        <rFont val="Calibri"/>
        <family val="2"/>
      </rPr>
      <t>(</t>
    </r>
    <r>
      <rPr>
        <i/>
        <sz val="11"/>
        <color rgb="FFFFFFFF"/>
        <rFont val="Calibri"/>
        <family val="2"/>
      </rPr>
      <t>Se realiza por una única vez)</t>
    </r>
  </si>
  <si>
    <t>PROCESO</t>
  </si>
  <si>
    <t>NOMBRE DEL FORMATO</t>
  </si>
  <si>
    <t>CLASIFICACIÓN DE LA INFORMACIÓN</t>
  </si>
  <si>
    <t xml:space="preserve">Pública  </t>
  </si>
  <si>
    <t>Pública Clasificada</t>
  </si>
  <si>
    <t>Pública Reservada</t>
  </si>
  <si>
    <t>Formato de Planeación, Seguimiento y Evaluación de Etapa Productiva</t>
  </si>
  <si>
    <t>GESTIÓN DE FORMACIÓN PROFESIONAL INTEGRAL</t>
  </si>
  <si>
    <t xml:space="preserve">           Observaciones adicionales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</si>
</sst>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FFFFFF"/>
      <name val="Calibri"/>
      <family val="2"/>
    </font>
    <font>
      <b/>
      <sz val="9"/>
      <color theme="1"/>
      <name val="Calibri"/>
      <family val="2"/>
    </font>
    <font>
      <b/>
      <i/>
      <u/>
      <sz val="10"/>
      <color theme="1"/>
      <name val="Calibri"/>
      <family val="2"/>
    </font>
    <font>
      <b/>
      <i/>
      <u/>
      <sz val="9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i/>
      <sz val="9"/>
      <color theme="1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11"/>
      <color rgb="FFFFFFFF"/>
      <name val="Calibri"/>
      <family val="2"/>
    </font>
    <font>
      <i/>
      <sz val="11"/>
      <color rgb="FFFFFFFF"/>
      <name val="Calibri"/>
      <family val="2"/>
    </font>
    <font>
      <b/>
      <sz val="9"/>
      <color rgb="FF000000"/>
      <name val="Calibri"/>
      <family val="2"/>
    </font>
    <font>
      <sz val="10"/>
      <color theme="1"/>
      <name val="Arial"/>
      <family val="2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theme="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ck">
        <color rgb="FF000000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rgb="FF000000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3" fillId="0" borderId="6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justify" vertical="center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/>
    </xf>
    <xf numFmtId="0" fontId="0" fillId="0" borderId="47" xfId="0" applyBorder="1"/>
    <xf numFmtId="0" fontId="0" fillId="0" borderId="49" xfId="0" applyBorder="1"/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44" xfId="0" applyFont="1" applyBorder="1" applyAlignment="1" applyProtection="1">
      <alignment horizontal="left" vertical="center" wrapText="1"/>
      <protection locked="0"/>
    </xf>
    <xf numFmtId="0" fontId="8" fillId="0" borderId="43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3" fillId="0" borderId="3" xfId="0" applyFont="1" applyBorder="1" applyAlignment="1">
      <alignment horizontal="justify" vertical="center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5" fontId="3" fillId="0" borderId="1" xfId="0" applyNumberFormat="1" applyFont="1" applyBorder="1" applyAlignment="1" applyProtection="1">
      <alignment horizontal="center" vertical="center" wrapText="1"/>
      <protection locked="0"/>
    </xf>
    <xf numFmtId="15" fontId="3" fillId="0" borderId="2" xfId="0" applyNumberFormat="1" applyFont="1" applyBorder="1" applyAlignment="1" applyProtection="1">
      <alignment horizontal="center" vertical="center" wrapText="1"/>
      <protection locked="0"/>
    </xf>
    <xf numFmtId="15" fontId="3" fillId="0" borderId="3" xfId="0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13" fillId="0" borderId="26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8" fillId="0" borderId="25" xfId="0" applyFont="1" applyBorder="1" applyAlignment="1" applyProtection="1">
      <alignment horizontal="left" vertical="center" wrapText="1"/>
      <protection locked="0"/>
    </xf>
    <xf numFmtId="0" fontId="8" fillId="0" borderId="26" xfId="0" applyFont="1" applyBorder="1" applyAlignment="1" applyProtection="1">
      <alignment horizontal="left" vertical="center" wrapText="1"/>
      <protection locked="0"/>
    </xf>
    <xf numFmtId="0" fontId="8" fillId="0" borderId="27" xfId="0" applyFont="1" applyBorder="1" applyAlignment="1" applyProtection="1">
      <alignment horizontal="left" vertical="center" wrapText="1"/>
      <protection locked="0"/>
    </xf>
    <xf numFmtId="0" fontId="8" fillId="0" borderId="23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21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 applyProtection="1">
      <alignment horizontal="justify" vertical="center"/>
      <protection locked="0"/>
    </xf>
    <xf numFmtId="0" fontId="6" fillId="0" borderId="27" xfId="0" applyFont="1" applyBorder="1" applyAlignment="1" applyProtection="1">
      <alignment horizontal="justify" vertical="center"/>
      <protection locked="0"/>
    </xf>
    <xf numFmtId="0" fontId="6" fillId="0" borderId="31" xfId="0" applyFont="1" applyBorder="1" applyAlignment="1" applyProtection="1">
      <alignment horizontal="justify" vertical="center"/>
      <protection locked="0"/>
    </xf>
    <xf numFmtId="0" fontId="6" fillId="0" borderId="21" xfId="0" applyFont="1" applyBorder="1" applyAlignment="1" applyProtection="1">
      <alignment horizontal="justify" vertical="center"/>
      <protection locked="0"/>
    </xf>
    <xf numFmtId="0" fontId="6" fillId="0" borderId="30" xfId="0" applyFont="1" applyBorder="1" applyAlignment="1" applyProtection="1">
      <alignment horizontal="justify" vertical="center"/>
      <protection locked="0"/>
    </xf>
    <xf numFmtId="0" fontId="6" fillId="0" borderId="6" xfId="0" applyFont="1" applyBorder="1" applyAlignment="1" applyProtection="1">
      <alignment horizontal="justify" vertical="center"/>
      <protection locked="0"/>
    </xf>
    <xf numFmtId="0" fontId="3" fillId="0" borderId="25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15" fontId="6" fillId="0" borderId="29" xfId="0" applyNumberFormat="1" applyFont="1" applyBorder="1" applyAlignment="1" applyProtection="1">
      <alignment horizontal="center" vertical="center"/>
      <protection locked="0"/>
    </xf>
    <xf numFmtId="15" fontId="6" fillId="0" borderId="27" xfId="0" applyNumberFormat="1" applyFont="1" applyBorder="1" applyAlignment="1" applyProtection="1">
      <alignment horizontal="center" vertical="center"/>
      <protection locked="0"/>
    </xf>
    <xf numFmtId="15" fontId="6" fillId="0" borderId="30" xfId="0" applyNumberFormat="1" applyFont="1" applyBorder="1" applyAlignment="1" applyProtection="1">
      <alignment horizontal="center" vertical="center"/>
      <protection locked="0"/>
    </xf>
    <xf numFmtId="15" fontId="6" fillId="0" borderId="6" xfId="0" applyNumberFormat="1" applyFont="1" applyBorder="1" applyAlignment="1" applyProtection="1">
      <alignment horizontal="center" vertical="center"/>
      <protection locked="0"/>
    </xf>
    <xf numFmtId="15" fontId="6" fillId="0" borderId="24" xfId="0" applyNumberFormat="1" applyFont="1" applyBorder="1" applyAlignment="1" applyProtection="1">
      <alignment horizontal="center" vertical="center" wrapText="1"/>
      <protection locked="0"/>
    </xf>
    <xf numFmtId="15" fontId="6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5" fontId="6" fillId="0" borderId="25" xfId="0" applyNumberFormat="1" applyFont="1" applyBorder="1" applyAlignment="1" applyProtection="1">
      <alignment horizontal="center" vertical="center"/>
      <protection locked="0"/>
    </xf>
    <xf numFmtId="15" fontId="6" fillId="0" borderId="26" xfId="0" applyNumberFormat="1" applyFont="1" applyBorder="1" applyAlignment="1" applyProtection="1">
      <alignment horizontal="center" vertical="center"/>
      <protection locked="0"/>
    </xf>
    <xf numFmtId="15" fontId="6" fillId="0" borderId="5" xfId="0" applyNumberFormat="1" applyFont="1" applyBorder="1" applyAlignment="1" applyProtection="1">
      <alignment horizontal="center" vertical="center"/>
      <protection locked="0"/>
    </xf>
    <xf numFmtId="15" fontId="6" fillId="0" borderId="7" xfId="0" applyNumberFormat="1" applyFont="1" applyBorder="1" applyAlignment="1" applyProtection="1">
      <alignment horizontal="center" vertical="center"/>
      <protection locked="0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5" fillId="3" borderId="27" xfId="0" applyFont="1" applyFill="1" applyBorder="1" applyAlignment="1">
      <alignment horizontal="center"/>
    </xf>
    <xf numFmtId="0" fontId="15" fillId="3" borderId="23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 applyProtection="1">
      <alignment horizontal="justify" vertical="center"/>
      <protection locked="0"/>
    </xf>
    <xf numFmtId="0" fontId="6" fillId="0" borderId="16" xfId="0" applyFont="1" applyBorder="1" applyAlignment="1" applyProtection="1">
      <alignment horizontal="justify" vertical="center"/>
      <protection locked="0"/>
    </xf>
    <xf numFmtId="0" fontId="6" fillId="0" borderId="17" xfId="0" applyFont="1" applyBorder="1" applyAlignment="1" applyProtection="1">
      <alignment horizontal="justify" vertical="center"/>
      <protection locked="0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26" xfId="0" applyNumberFormat="1" applyFont="1" applyBorder="1" applyAlignment="1" applyProtection="1">
      <alignment horizontal="center" vertical="center"/>
      <protection locked="0"/>
    </xf>
    <xf numFmtId="1" fontId="6" fillId="0" borderId="27" xfId="0" applyNumberFormat="1" applyFont="1" applyBorder="1" applyAlignment="1" applyProtection="1">
      <alignment horizontal="center" vertical="center"/>
      <protection locked="0"/>
    </xf>
    <xf numFmtId="1" fontId="6" fillId="0" borderId="23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1" fontId="6" fillId="0" borderId="21" xfId="0" applyNumberFormat="1" applyFont="1" applyBorder="1" applyAlignment="1" applyProtection="1">
      <alignment horizontal="center" vertical="center"/>
      <protection locked="0"/>
    </xf>
    <xf numFmtId="1" fontId="6" fillId="0" borderId="5" xfId="0" applyNumberFormat="1" applyFont="1" applyBorder="1" applyAlignment="1" applyProtection="1">
      <alignment horizontal="center" vertical="center"/>
      <protection locked="0"/>
    </xf>
    <xf numFmtId="1" fontId="6" fillId="0" borderId="7" xfId="0" applyNumberFormat="1" applyFont="1" applyBorder="1" applyAlignment="1" applyProtection="1">
      <alignment horizontal="center" vertical="center"/>
      <protection locked="0"/>
    </xf>
    <xf numFmtId="1" fontId="6" fillId="0" borderId="6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1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DF59D-B1DC-426A-B157-D325FD23BFEE}" name="TablaSena" displayName="TablaSena" ref="A1:C39" totalsRowShown="0" headerRowDxfId="10" headerRowBorderDxfId="9" tableBorderDxfId="8" totalsRowBorderDxfId="7">
  <autoFilter ref="A1:C39" xr:uid="{864DF59D-B1DC-426A-B157-D325FD23BFEE}"/>
  <tableColumns count="3">
    <tableColumn id="1" xr3:uid="{8011FC6E-7B0C-4082-9B30-05AC5F8657CB}" name="PROGRAMA" dataDxfId="6"/>
    <tableColumn id="2" xr3:uid="{0131AB5F-AA66-4405-926A-9F33B5C6B333}" name="COMPETENCIA" dataDxfId="5"/>
    <tableColumn id="3" xr3:uid="{E8E360D4-C9EA-4A4B-84D1-A5F870497AAD}" name="RESULTADO DE APRENDIZAJE (RAP)" dataDxfId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A23F-FF58-4990-888B-38067429506C}">
  <sheetPr>
    <pageSetUpPr fitToPage="1"/>
  </sheetPr>
  <dimension ref="A1:XFC83"/>
  <sheetViews>
    <sheetView showGridLines="0" tabSelected="1" topLeftCell="A32" zoomScale="140" zoomScaleNormal="140" workbookViewId="0">
      <selection activeCell="D45" sqref="D45:G47"/>
    </sheetView>
  </sheetViews>
  <sheetFormatPr baseColWidth="10" defaultColWidth="0" defaultRowHeight="15" zeroHeight="1" x14ac:dyDescent="0.25"/>
  <cols>
    <col min="1" max="1" width="18.5703125" customWidth="1"/>
    <col min="2" max="8" width="11.42578125" customWidth="1"/>
    <col min="9" max="9" width="15.140625" customWidth="1"/>
    <col min="10" max="10" width="11.42578125" customWidth="1"/>
    <col min="11" max="11" width="7.5703125" customWidth="1"/>
    <col min="12" max="12" width="3.7109375" customWidth="1"/>
    <col min="13" max="13" width="14" customWidth="1"/>
    <col min="17" max="16381" width="11.42578125" hidden="1"/>
    <col min="16382" max="16382" width="1.7109375" hidden="1" customWidth="1"/>
    <col min="16383" max="16383" width="3" hidden="1" customWidth="1"/>
    <col min="16384" max="16384" width="1.28515625" customWidth="1"/>
  </cols>
  <sheetData>
    <row r="1" spans="1:13" x14ac:dyDescent="0.25">
      <c r="B1" s="141" t="s">
        <v>114</v>
      </c>
      <c r="C1" s="142"/>
      <c r="D1" s="142"/>
      <c r="E1" s="142"/>
      <c r="F1" s="142"/>
      <c r="G1" s="142"/>
      <c r="H1" s="142"/>
      <c r="I1" s="142"/>
      <c r="J1" s="142"/>
      <c r="K1" s="143"/>
    </row>
    <row r="2" spans="1:13" x14ac:dyDescent="0.25">
      <c r="B2" s="150" t="s">
        <v>121</v>
      </c>
      <c r="C2" s="151"/>
      <c r="D2" s="151"/>
      <c r="E2" s="151"/>
      <c r="F2" s="151"/>
      <c r="G2" s="151"/>
      <c r="H2" s="151"/>
      <c r="I2" s="151"/>
      <c r="J2" s="151"/>
      <c r="K2" s="152"/>
    </row>
    <row r="3" spans="1:13" x14ac:dyDescent="0.25">
      <c r="B3" s="144" t="s">
        <v>115</v>
      </c>
      <c r="C3" s="145"/>
      <c r="D3" s="145"/>
      <c r="E3" s="145"/>
      <c r="F3" s="145"/>
      <c r="G3" s="145"/>
      <c r="H3" s="145"/>
      <c r="I3" s="145"/>
      <c r="J3" s="145"/>
      <c r="K3" s="146"/>
    </row>
    <row r="4" spans="1:13" x14ac:dyDescent="0.25">
      <c r="B4" s="150" t="s">
        <v>120</v>
      </c>
      <c r="C4" s="151"/>
      <c r="D4" s="151"/>
      <c r="E4" s="151"/>
      <c r="F4" s="151"/>
      <c r="G4" s="151"/>
      <c r="H4" s="151"/>
      <c r="I4" s="151"/>
      <c r="J4" s="151"/>
      <c r="K4" s="152"/>
    </row>
    <row r="5" spans="1:13" x14ac:dyDescent="0.25">
      <c r="B5" s="144" t="s">
        <v>116</v>
      </c>
      <c r="C5" s="145"/>
      <c r="D5" s="145"/>
      <c r="E5" s="145"/>
      <c r="F5" s="145"/>
      <c r="G5" s="145"/>
      <c r="H5" s="145"/>
      <c r="I5" s="145"/>
      <c r="J5" s="145"/>
      <c r="K5" s="146"/>
    </row>
    <row r="6" spans="1:13" ht="15.75" thickBot="1" x14ac:dyDescent="0.3">
      <c r="B6" s="147" t="s">
        <v>117</v>
      </c>
      <c r="C6" s="148"/>
      <c r="D6" s="22"/>
      <c r="E6" s="149" t="s">
        <v>118</v>
      </c>
      <c r="F6" s="148"/>
      <c r="G6" s="148"/>
      <c r="H6" s="22"/>
      <c r="I6" s="149" t="s">
        <v>119</v>
      </c>
      <c r="J6" s="148"/>
      <c r="K6" s="23"/>
    </row>
    <row r="7" spans="1:13" x14ac:dyDescent="0.25"/>
    <row r="8" spans="1:13" ht="15.75" thickBot="1" x14ac:dyDescent="0.3">
      <c r="A8" s="70" t="s">
        <v>0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</row>
    <row r="9" spans="1:13" ht="15.75" customHeight="1" thickBot="1" x14ac:dyDescent="0.3">
      <c r="A9" s="35" t="s">
        <v>1</v>
      </c>
      <c r="B9" s="36"/>
      <c r="C9" s="53" t="s">
        <v>2</v>
      </c>
      <c r="D9" s="134"/>
      <c r="E9" s="134"/>
      <c r="F9" s="134"/>
      <c r="G9" s="134"/>
      <c r="H9" s="134"/>
      <c r="I9" s="134"/>
      <c r="J9" s="134"/>
      <c r="K9" s="134"/>
      <c r="L9" s="134"/>
      <c r="M9" s="54"/>
    </row>
    <row r="10" spans="1:13" ht="24.75" thickBot="1" x14ac:dyDescent="0.3">
      <c r="A10" s="35" t="s">
        <v>3</v>
      </c>
      <c r="B10" s="36"/>
      <c r="C10" s="37" t="s">
        <v>4</v>
      </c>
      <c r="D10" s="38"/>
      <c r="E10" s="38"/>
      <c r="F10" s="38"/>
      <c r="G10" s="39"/>
      <c r="H10" s="1" t="s">
        <v>5</v>
      </c>
      <c r="I10" s="156"/>
      <c r="J10" s="157"/>
      <c r="K10" s="157"/>
      <c r="L10" s="157"/>
      <c r="M10" s="158"/>
    </row>
    <row r="11" spans="1:13" ht="15.75" thickBot="1" x14ac:dyDescent="0.3">
      <c r="A11" s="35" t="s">
        <v>6</v>
      </c>
      <c r="B11" s="36"/>
      <c r="C11" s="50"/>
      <c r="D11" s="51"/>
      <c r="E11" s="51"/>
      <c r="F11" s="51"/>
      <c r="G11" s="51"/>
      <c r="H11" s="52"/>
      <c r="I11" s="30" t="s">
        <v>7</v>
      </c>
      <c r="J11" s="32"/>
      <c r="K11" s="72"/>
      <c r="L11" s="73"/>
      <c r="M11" s="74"/>
    </row>
    <row r="12" spans="1:13" ht="15.75" thickBot="1" x14ac:dyDescent="0.3">
      <c r="A12" s="35" t="s">
        <v>8</v>
      </c>
      <c r="B12" s="36"/>
      <c r="C12" s="2" t="s">
        <v>9</v>
      </c>
      <c r="D12" s="53" t="s">
        <v>10</v>
      </c>
      <c r="E12" s="54"/>
      <c r="F12" s="55" t="s">
        <v>11</v>
      </c>
      <c r="G12" s="56"/>
      <c r="H12" s="1"/>
      <c r="I12" s="55" t="s">
        <v>12</v>
      </c>
      <c r="J12" s="56"/>
      <c r="K12" s="75"/>
      <c r="L12" s="76"/>
      <c r="M12" s="77"/>
    </row>
    <row r="13" spans="1:13" ht="15.75" thickBot="1" x14ac:dyDescent="0.3">
      <c r="A13" s="35" t="s">
        <v>13</v>
      </c>
      <c r="B13" s="36"/>
      <c r="C13" s="40"/>
      <c r="D13" s="41"/>
      <c r="E13" s="41"/>
      <c r="F13" s="42"/>
      <c r="G13" s="40" t="s">
        <v>14</v>
      </c>
      <c r="H13" s="41"/>
      <c r="I13" s="42"/>
      <c r="J13" s="78"/>
      <c r="K13" s="79"/>
      <c r="L13" s="79"/>
      <c r="M13" s="80"/>
    </row>
    <row r="14" spans="1:13" ht="15.75" thickBot="1" x14ac:dyDescent="0.3">
      <c r="A14" s="43" t="s">
        <v>15</v>
      </c>
      <c r="B14" s="35" t="s">
        <v>16</v>
      </c>
      <c r="C14" s="46"/>
      <c r="D14" s="36"/>
      <c r="E14" s="60"/>
      <c r="F14" s="61"/>
      <c r="G14" s="61"/>
      <c r="H14" s="61"/>
      <c r="I14" s="61"/>
      <c r="J14" s="61"/>
      <c r="K14" s="61"/>
      <c r="L14" s="61"/>
      <c r="M14" s="62"/>
    </row>
    <row r="15" spans="1:13" ht="15.75" thickBot="1" x14ac:dyDescent="0.3">
      <c r="A15" s="44"/>
      <c r="B15" s="47" t="s">
        <v>17</v>
      </c>
      <c r="C15" s="48"/>
      <c r="D15" s="49"/>
      <c r="E15" s="81"/>
      <c r="F15" s="82"/>
      <c r="G15" s="82"/>
      <c r="H15" s="82"/>
      <c r="I15" s="82"/>
      <c r="J15" s="82"/>
      <c r="K15" s="82"/>
      <c r="L15" s="82"/>
      <c r="M15" s="83"/>
    </row>
    <row r="16" spans="1:13" ht="15.75" thickBot="1" x14ac:dyDescent="0.3">
      <c r="A16" s="44"/>
      <c r="B16" s="35" t="s">
        <v>18</v>
      </c>
      <c r="C16" s="46"/>
      <c r="D16" s="36"/>
      <c r="E16" s="60"/>
      <c r="F16" s="61"/>
      <c r="G16" s="61"/>
      <c r="H16" s="61"/>
      <c r="I16" s="61"/>
      <c r="J16" s="61"/>
      <c r="K16" s="61"/>
      <c r="L16" s="61"/>
      <c r="M16" s="62"/>
    </row>
    <row r="17" spans="1:13" ht="15.75" thickBot="1" x14ac:dyDescent="0.3">
      <c r="A17" s="44"/>
      <c r="B17" s="35" t="s">
        <v>19</v>
      </c>
      <c r="C17" s="46"/>
      <c r="D17" s="36"/>
      <c r="E17" s="60"/>
      <c r="F17" s="61"/>
      <c r="G17" s="61"/>
      <c r="H17" s="61"/>
      <c r="I17" s="61"/>
      <c r="J17" s="61"/>
      <c r="K17" s="61"/>
      <c r="L17" s="61"/>
      <c r="M17" s="62"/>
    </row>
    <row r="18" spans="1:13" ht="15.75" thickBot="1" x14ac:dyDescent="0.3">
      <c r="A18" s="44"/>
      <c r="B18" s="35" t="s">
        <v>20</v>
      </c>
      <c r="C18" s="46"/>
      <c r="D18" s="36"/>
      <c r="E18" s="60"/>
      <c r="F18" s="61"/>
      <c r="G18" s="61"/>
      <c r="H18" s="61"/>
      <c r="I18" s="61"/>
      <c r="J18" s="61"/>
      <c r="K18" s="61"/>
      <c r="L18" s="61"/>
      <c r="M18" s="62"/>
    </row>
    <row r="19" spans="1:13" ht="15.75" thickBot="1" x14ac:dyDescent="0.3">
      <c r="A19" s="44"/>
      <c r="B19" s="35" t="s">
        <v>21</v>
      </c>
      <c r="C19" s="46"/>
      <c r="D19" s="36"/>
      <c r="E19" s="60"/>
      <c r="F19" s="61"/>
      <c r="G19" s="61"/>
      <c r="H19" s="61"/>
      <c r="I19" s="61"/>
      <c r="J19" s="61"/>
      <c r="K19" s="61"/>
      <c r="L19" s="61"/>
      <c r="M19" s="62"/>
    </row>
    <row r="20" spans="1:13" ht="15.75" thickBot="1" x14ac:dyDescent="0.3">
      <c r="A20" s="44"/>
      <c r="B20" s="35" t="s">
        <v>22</v>
      </c>
      <c r="C20" s="46"/>
      <c r="D20" s="36"/>
      <c r="E20" s="57"/>
      <c r="F20" s="58"/>
      <c r="G20" s="58"/>
      <c r="H20" s="58"/>
      <c r="I20" s="58"/>
      <c r="J20" s="58"/>
      <c r="K20" s="58"/>
      <c r="L20" s="58"/>
      <c r="M20" s="59"/>
    </row>
    <row r="21" spans="1:13" ht="15.75" thickBot="1" x14ac:dyDescent="0.3">
      <c r="A21" s="44"/>
      <c r="B21" s="35" t="s">
        <v>23</v>
      </c>
      <c r="C21" s="46"/>
      <c r="D21" s="36"/>
      <c r="E21" s="57"/>
      <c r="F21" s="58"/>
      <c r="G21" s="58"/>
      <c r="H21" s="58"/>
      <c r="I21" s="58"/>
      <c r="J21" s="58"/>
      <c r="K21" s="58"/>
      <c r="L21" s="58"/>
      <c r="M21" s="59"/>
    </row>
    <row r="22" spans="1:13" ht="15.75" thickBot="1" x14ac:dyDescent="0.3">
      <c r="A22" s="45"/>
      <c r="B22" s="35" t="s">
        <v>24</v>
      </c>
      <c r="C22" s="46"/>
      <c r="D22" s="36"/>
      <c r="E22" s="57"/>
      <c r="F22" s="58"/>
      <c r="G22" s="58"/>
      <c r="H22" s="58"/>
      <c r="I22" s="58"/>
      <c r="J22" s="58"/>
      <c r="K22" s="58"/>
      <c r="L22" s="58"/>
      <c r="M22" s="59"/>
    </row>
    <row r="23" spans="1:13" ht="16.5" customHeight="1" thickTop="1" thickBot="1" x14ac:dyDescent="0.3">
      <c r="A23" s="63" t="s">
        <v>25</v>
      </c>
      <c r="B23" s="35" t="s">
        <v>26</v>
      </c>
      <c r="C23" s="46"/>
      <c r="D23" s="36"/>
      <c r="E23" s="64" t="s">
        <v>27</v>
      </c>
      <c r="F23" s="65"/>
      <c r="G23" s="65"/>
      <c r="H23" s="65"/>
      <c r="I23" s="65"/>
      <c r="J23" s="65"/>
      <c r="K23" s="65"/>
      <c r="L23" s="65"/>
      <c r="M23" s="66"/>
    </row>
    <row r="24" spans="1:13" ht="15.75" thickBot="1" x14ac:dyDescent="0.3">
      <c r="A24" s="44"/>
      <c r="B24" s="35" t="s">
        <v>19</v>
      </c>
      <c r="C24" s="46"/>
      <c r="D24" s="36"/>
      <c r="E24" s="67"/>
      <c r="F24" s="68"/>
      <c r="G24" s="68"/>
      <c r="H24" s="68"/>
      <c r="I24" s="68"/>
      <c r="J24" s="68"/>
      <c r="K24" s="68"/>
      <c r="L24" s="68"/>
      <c r="M24" s="69"/>
    </row>
    <row r="25" spans="1:13" ht="15.75" customHeight="1" thickBot="1" x14ac:dyDescent="0.3">
      <c r="A25" s="45"/>
      <c r="B25" s="35" t="s">
        <v>22</v>
      </c>
      <c r="C25" s="46"/>
      <c r="D25" s="36"/>
      <c r="E25" s="64" t="s">
        <v>28</v>
      </c>
      <c r="F25" s="65"/>
      <c r="G25" s="65"/>
      <c r="H25" s="65"/>
      <c r="I25" s="65"/>
      <c r="J25" s="65"/>
      <c r="K25" s="65"/>
      <c r="L25" s="65"/>
      <c r="M25" s="66"/>
    </row>
    <row r="26" spans="1:13" ht="25.5" thickTop="1" thickBot="1" x14ac:dyDescent="0.3">
      <c r="A26" s="4" t="s">
        <v>29</v>
      </c>
      <c r="B26" s="35" t="s">
        <v>32</v>
      </c>
      <c r="C26" s="46"/>
      <c r="D26" s="36"/>
      <c r="E26" s="60"/>
      <c r="F26" s="61"/>
      <c r="G26" s="61"/>
      <c r="H26" s="61"/>
      <c r="I26" s="61"/>
      <c r="J26" s="61"/>
      <c r="K26" s="61"/>
      <c r="L26" s="61"/>
      <c r="M26" s="62"/>
    </row>
    <row r="27" spans="1:13" ht="36.75" thickBot="1" x14ac:dyDescent="0.3">
      <c r="A27" s="5" t="s">
        <v>30</v>
      </c>
      <c r="B27" s="35" t="s">
        <v>20</v>
      </c>
      <c r="C27" s="46"/>
      <c r="D27" s="36"/>
      <c r="E27" s="60"/>
      <c r="F27" s="61"/>
      <c r="G27" s="61"/>
      <c r="H27" s="61"/>
      <c r="I27" s="61"/>
      <c r="J27" s="61"/>
      <c r="K27" s="61"/>
      <c r="L27" s="61"/>
      <c r="M27" s="62"/>
    </row>
    <row r="28" spans="1:13" ht="15.75" thickBot="1" x14ac:dyDescent="0.3">
      <c r="A28" s="3"/>
      <c r="B28" s="35" t="s">
        <v>33</v>
      </c>
      <c r="C28" s="46"/>
      <c r="D28" s="36"/>
      <c r="E28" s="60"/>
      <c r="F28" s="61"/>
      <c r="G28" s="61"/>
      <c r="H28" s="61"/>
      <c r="I28" s="61"/>
      <c r="J28" s="61"/>
      <c r="K28" s="61"/>
      <c r="L28" s="61"/>
      <c r="M28" s="62"/>
    </row>
    <row r="29" spans="1:13" ht="15.75" thickBot="1" x14ac:dyDescent="0.3">
      <c r="A29" s="3"/>
      <c r="B29" s="35" t="s">
        <v>34</v>
      </c>
      <c r="C29" s="46"/>
      <c r="D29" s="36"/>
      <c r="E29" s="60"/>
      <c r="F29" s="61"/>
      <c r="G29" s="61"/>
      <c r="H29" s="61"/>
      <c r="I29" s="61"/>
      <c r="J29" s="61"/>
      <c r="K29" s="61"/>
      <c r="L29" s="61"/>
      <c r="M29" s="62"/>
    </row>
    <row r="30" spans="1:13" ht="36.75" thickBot="1" x14ac:dyDescent="0.3">
      <c r="A30" s="5" t="s">
        <v>31</v>
      </c>
      <c r="B30" s="35" t="s">
        <v>35</v>
      </c>
      <c r="C30" s="46"/>
      <c r="D30" s="36"/>
      <c r="E30" s="60"/>
      <c r="F30" s="61"/>
      <c r="G30" s="61"/>
      <c r="H30" s="61"/>
      <c r="I30" s="61"/>
      <c r="J30" s="61"/>
      <c r="K30" s="61"/>
      <c r="L30" s="61"/>
      <c r="M30" s="62"/>
    </row>
    <row r="31" spans="1:13" ht="15.75" thickBot="1" x14ac:dyDescent="0.3">
      <c r="A31" s="6"/>
      <c r="B31" s="35" t="s">
        <v>36</v>
      </c>
      <c r="C31" s="46"/>
      <c r="D31" s="36"/>
      <c r="E31" s="60"/>
      <c r="F31" s="61"/>
      <c r="G31" s="61"/>
      <c r="H31" s="61"/>
      <c r="I31" s="61"/>
      <c r="J31" s="61"/>
      <c r="K31" s="61"/>
      <c r="L31" s="61"/>
      <c r="M31" s="62"/>
    </row>
    <row r="32" spans="1:13" ht="15.75" thickBot="1" x14ac:dyDescent="0.3">
      <c r="A32" s="6"/>
      <c r="B32" s="35" t="s">
        <v>19</v>
      </c>
      <c r="C32" s="46"/>
      <c r="D32" s="36"/>
      <c r="E32" s="57"/>
      <c r="F32" s="58"/>
      <c r="G32" s="58"/>
      <c r="H32" s="58"/>
      <c r="I32" s="58"/>
      <c r="J32" s="58"/>
      <c r="K32" s="58"/>
      <c r="L32" s="58"/>
      <c r="M32" s="59"/>
    </row>
    <row r="33" spans="1:13" ht="15.75" thickBot="1" x14ac:dyDescent="0.3">
      <c r="A33" s="6"/>
      <c r="B33" s="35" t="s">
        <v>37</v>
      </c>
      <c r="C33" s="46"/>
      <c r="D33" s="36"/>
      <c r="E33" s="60"/>
      <c r="F33" s="61"/>
      <c r="G33" s="61"/>
      <c r="H33" s="61"/>
      <c r="I33" s="61"/>
      <c r="J33" s="61"/>
      <c r="K33" s="61"/>
      <c r="L33" s="61"/>
      <c r="M33" s="62"/>
    </row>
    <row r="34" spans="1:13" ht="15.75" thickBot="1" x14ac:dyDescent="0.3">
      <c r="A34" s="7"/>
      <c r="B34" s="138" t="s">
        <v>38</v>
      </c>
      <c r="C34" s="139"/>
      <c r="D34" s="140"/>
      <c r="E34" s="57"/>
      <c r="F34" s="58"/>
      <c r="G34" s="58"/>
      <c r="H34" s="58"/>
      <c r="I34" s="58"/>
      <c r="J34" s="58"/>
      <c r="K34" s="58"/>
      <c r="L34" s="58"/>
      <c r="M34" s="59"/>
    </row>
    <row r="35" spans="1:13" ht="25.5" thickTop="1" thickBot="1" x14ac:dyDescent="0.3">
      <c r="A35" s="8" t="s">
        <v>39</v>
      </c>
      <c r="B35" s="135" t="s">
        <v>41</v>
      </c>
      <c r="C35" s="136"/>
      <c r="D35" s="137"/>
      <c r="E35" s="57"/>
      <c r="F35" s="58"/>
      <c r="G35" s="58"/>
      <c r="H35" s="58"/>
      <c r="I35" s="58"/>
      <c r="J35" s="58"/>
      <c r="K35" s="58"/>
      <c r="L35" s="58"/>
      <c r="M35" s="59"/>
    </row>
    <row r="36" spans="1:13" ht="24" customHeight="1" thickBot="1" x14ac:dyDescent="0.3">
      <c r="A36" s="9" t="s">
        <v>40</v>
      </c>
      <c r="B36" s="35" t="s">
        <v>42</v>
      </c>
      <c r="C36" s="46"/>
      <c r="D36" s="36"/>
      <c r="E36" s="57"/>
      <c r="F36" s="58"/>
      <c r="G36" s="58"/>
      <c r="H36" s="58"/>
      <c r="I36" s="58"/>
      <c r="J36" s="58"/>
      <c r="K36" s="58"/>
      <c r="L36" s="58"/>
      <c r="M36" s="59"/>
    </row>
    <row r="37" spans="1:13" ht="15.75" thickBot="1" x14ac:dyDescent="0.3">
      <c r="A37" s="10"/>
      <c r="B37" s="35" t="s">
        <v>19</v>
      </c>
      <c r="C37" s="46"/>
      <c r="D37" s="36"/>
      <c r="E37" s="57"/>
      <c r="F37" s="58"/>
      <c r="G37" s="58"/>
      <c r="H37" s="58"/>
      <c r="I37" s="58"/>
      <c r="J37" s="58"/>
      <c r="K37" s="58"/>
      <c r="L37" s="58"/>
      <c r="M37" s="59"/>
    </row>
    <row r="38" spans="1:13" ht="15" customHeight="1" x14ac:dyDescent="0.25">
      <c r="A38" s="153" t="s">
        <v>43</v>
      </c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</row>
    <row r="39" spans="1:13" ht="15" customHeight="1" x14ac:dyDescent="0.25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</row>
    <row r="40" spans="1:13" ht="9.75" customHeight="1" x14ac:dyDescent="0.25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</row>
    <row r="41" spans="1:13" ht="15.75" thickBot="1" x14ac:dyDescent="0.3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</row>
    <row r="42" spans="1:13" ht="15.75" thickBot="1" x14ac:dyDescent="0.3">
      <c r="A42" s="120" t="s">
        <v>113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2"/>
    </row>
    <row r="43" spans="1:13" ht="32.25" customHeight="1" x14ac:dyDescent="0.25">
      <c r="A43" s="123" t="s">
        <v>44</v>
      </c>
      <c r="B43" s="125"/>
      <c r="C43" s="126"/>
      <c r="D43" s="126"/>
      <c r="E43" s="109"/>
      <c r="F43" s="104" t="s">
        <v>45</v>
      </c>
      <c r="G43" s="105"/>
      <c r="H43" s="108"/>
      <c r="I43" s="109"/>
      <c r="J43" s="104" t="s">
        <v>46</v>
      </c>
      <c r="K43" s="129"/>
      <c r="L43" s="130"/>
      <c r="M43" s="112"/>
    </row>
    <row r="44" spans="1:13" ht="15.75" thickBot="1" x14ac:dyDescent="0.3">
      <c r="A44" s="124"/>
      <c r="B44" s="127"/>
      <c r="C44" s="128"/>
      <c r="D44" s="128"/>
      <c r="E44" s="111"/>
      <c r="F44" s="106"/>
      <c r="G44" s="107"/>
      <c r="H44" s="110"/>
      <c r="I44" s="111"/>
      <c r="J44" s="131" t="s">
        <v>47</v>
      </c>
      <c r="K44" s="132"/>
      <c r="L44" s="133"/>
      <c r="M44" s="113"/>
    </row>
    <row r="45" spans="1:13" x14ac:dyDescent="0.25">
      <c r="A45" s="24" t="s">
        <v>48</v>
      </c>
      <c r="B45" s="25"/>
      <c r="C45" s="26"/>
      <c r="D45" s="169"/>
      <c r="E45" s="170"/>
      <c r="F45" s="170"/>
      <c r="G45" s="171"/>
      <c r="H45" s="24" t="s">
        <v>49</v>
      </c>
      <c r="I45" s="25"/>
      <c r="J45" s="25"/>
      <c r="K45" s="114"/>
      <c r="L45" s="98"/>
      <c r="M45" s="99"/>
    </row>
    <row r="46" spans="1:13" x14ac:dyDescent="0.25">
      <c r="A46" s="27"/>
      <c r="B46" s="28"/>
      <c r="C46" s="29"/>
      <c r="D46" s="172"/>
      <c r="E46" s="173"/>
      <c r="F46" s="173"/>
      <c r="G46" s="174"/>
      <c r="H46" s="115" t="s">
        <v>50</v>
      </c>
      <c r="I46" s="85"/>
      <c r="J46" s="85"/>
      <c r="K46" s="116"/>
      <c r="L46" s="100"/>
      <c r="M46" s="101"/>
    </row>
    <row r="47" spans="1:13" ht="15.75" thickBot="1" x14ac:dyDescent="0.3">
      <c r="A47" s="30"/>
      <c r="B47" s="31"/>
      <c r="C47" s="32"/>
      <c r="D47" s="175"/>
      <c r="E47" s="176"/>
      <c r="F47" s="176"/>
      <c r="G47" s="177"/>
      <c r="H47" s="117"/>
      <c r="I47" s="118"/>
      <c r="J47" s="118"/>
      <c r="K47" s="119"/>
      <c r="L47" s="102"/>
      <c r="M47" s="103"/>
    </row>
    <row r="48" spans="1:13" ht="24" customHeight="1" thickBot="1" x14ac:dyDescent="0.3">
      <c r="A48" s="159" t="s">
        <v>51</v>
      </c>
      <c r="B48" s="160"/>
      <c r="C48" s="161"/>
      <c r="D48" s="162"/>
      <c r="E48" s="163"/>
      <c r="F48" s="163"/>
      <c r="G48" s="163"/>
      <c r="H48" s="163"/>
      <c r="I48" s="163"/>
      <c r="J48" s="163"/>
      <c r="K48" s="163"/>
      <c r="L48" s="163"/>
      <c r="M48" s="164"/>
    </row>
    <row r="49" spans="1:13" ht="16.5" thickTop="1" thickBot="1" x14ac:dyDescent="0.3">
      <c r="A49" s="165" t="s">
        <v>52</v>
      </c>
      <c r="B49" s="166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25">
      <c r="A50" s="24" t="s">
        <v>53</v>
      </c>
      <c r="B50" s="26"/>
      <c r="C50" s="33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spans="1:13" x14ac:dyDescent="0.25">
      <c r="A51" s="27"/>
      <c r="B51" s="29"/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</row>
    <row r="52" spans="1:13" x14ac:dyDescent="0.25">
      <c r="A52" s="27"/>
      <c r="B52" s="29"/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spans="1:13" x14ac:dyDescent="0.25">
      <c r="A53" s="27"/>
      <c r="B53" s="29"/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</row>
    <row r="54" spans="1:13" ht="15.75" thickBot="1" x14ac:dyDescent="0.3">
      <c r="A54" s="30"/>
      <c r="B54" s="32"/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</row>
    <row r="55" spans="1:13" x14ac:dyDescent="0.25">
      <c r="A55" s="24" t="s">
        <v>54</v>
      </c>
      <c r="B55" s="26"/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</row>
    <row r="56" spans="1:13" x14ac:dyDescent="0.25">
      <c r="A56" s="27"/>
      <c r="B56" s="29"/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</row>
    <row r="57" spans="1:13" x14ac:dyDescent="0.25">
      <c r="A57" s="27"/>
      <c r="B57" s="29"/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spans="1:13" x14ac:dyDescent="0.25">
      <c r="A58" s="27"/>
      <c r="B58" s="29"/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</row>
    <row r="59" spans="1:13" ht="15.75" thickBot="1" x14ac:dyDescent="0.3">
      <c r="A59" s="30"/>
      <c r="B59" s="32"/>
      <c r="C59" s="33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spans="1:13" x14ac:dyDescent="0.25">
      <c r="A60" s="24" t="s">
        <v>55</v>
      </c>
      <c r="B60" s="26"/>
      <c r="C60" s="33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1" spans="1:13" ht="14.25" customHeight="1" x14ac:dyDescent="0.25">
      <c r="A61" s="27"/>
      <c r="B61" s="29"/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</row>
    <row r="62" spans="1:13" x14ac:dyDescent="0.25">
      <c r="A62" s="27"/>
      <c r="B62" s="29"/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</row>
    <row r="63" spans="1:13" x14ac:dyDescent="0.25">
      <c r="A63" s="27"/>
      <c r="B63" s="29"/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</row>
    <row r="64" spans="1:13" ht="15.75" thickBot="1" x14ac:dyDescent="0.3">
      <c r="A64" s="30"/>
      <c r="B64" s="32"/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</row>
    <row r="65" spans="1:13" ht="15" customHeight="1" x14ac:dyDescent="0.25">
      <c r="A65" s="24" t="s">
        <v>56</v>
      </c>
      <c r="B65" s="26"/>
      <c r="C65" s="90"/>
      <c r="D65" s="91"/>
      <c r="E65" s="91"/>
      <c r="F65" s="91"/>
      <c r="G65" s="91"/>
      <c r="H65" s="91"/>
      <c r="I65" s="91"/>
      <c r="J65" s="91"/>
      <c r="K65" s="91"/>
      <c r="L65" s="91"/>
      <c r="M65" s="92"/>
    </row>
    <row r="66" spans="1:13" ht="24" customHeight="1" thickBot="1" x14ac:dyDescent="0.3">
      <c r="A66" s="30"/>
      <c r="B66" s="32"/>
      <c r="C66" s="93"/>
      <c r="D66" s="94"/>
      <c r="E66" s="94"/>
      <c r="F66" s="94"/>
      <c r="G66" s="94"/>
      <c r="H66" s="94"/>
      <c r="I66" s="94"/>
      <c r="J66" s="94"/>
      <c r="K66" s="94"/>
      <c r="L66" s="94"/>
      <c r="M66" s="95"/>
    </row>
    <row r="67" spans="1:13" ht="15" customHeight="1" x14ac:dyDescent="0.25">
      <c r="A67" s="24" t="s">
        <v>122</v>
      </c>
      <c r="B67" s="26"/>
      <c r="C67" s="87"/>
      <c r="D67" s="88"/>
      <c r="E67" s="88"/>
      <c r="F67" s="88"/>
      <c r="G67" s="88"/>
      <c r="H67" s="88"/>
      <c r="I67" s="88"/>
      <c r="J67" s="88"/>
      <c r="K67" s="88"/>
      <c r="L67" s="88"/>
      <c r="M67" s="89"/>
    </row>
    <row r="68" spans="1:13" ht="15" customHeight="1" x14ac:dyDescent="0.25">
      <c r="A68" s="27"/>
      <c r="B68" s="29"/>
      <c r="C68" s="90"/>
      <c r="D68" s="91"/>
      <c r="E68" s="91"/>
      <c r="F68" s="91"/>
      <c r="G68" s="91"/>
      <c r="H68" s="91"/>
      <c r="I68" s="91"/>
      <c r="J68" s="91"/>
      <c r="K68" s="91"/>
      <c r="L68" s="91"/>
      <c r="M68" s="92"/>
    </row>
    <row r="69" spans="1:13" x14ac:dyDescent="0.25">
      <c r="A69" s="27"/>
      <c r="B69" s="29"/>
      <c r="C69" s="90"/>
      <c r="D69" s="91"/>
      <c r="E69" s="91"/>
      <c r="F69" s="91"/>
      <c r="G69" s="91"/>
      <c r="H69" s="91"/>
      <c r="I69" s="91"/>
      <c r="J69" s="91"/>
      <c r="K69" s="91"/>
      <c r="L69" s="91"/>
      <c r="M69" s="92"/>
    </row>
    <row r="70" spans="1:13" x14ac:dyDescent="0.25">
      <c r="A70" s="27"/>
      <c r="B70" s="29"/>
      <c r="C70" s="90"/>
      <c r="D70" s="91"/>
      <c r="E70" s="91"/>
      <c r="F70" s="91"/>
      <c r="G70" s="91"/>
      <c r="H70" s="91"/>
      <c r="I70" s="91"/>
      <c r="J70" s="91"/>
      <c r="K70" s="91"/>
      <c r="L70" s="91"/>
      <c r="M70" s="92"/>
    </row>
    <row r="71" spans="1:13" ht="15.75" thickBot="1" x14ac:dyDescent="0.3">
      <c r="A71" s="30"/>
      <c r="B71" s="32"/>
      <c r="C71" s="93"/>
      <c r="D71" s="94"/>
      <c r="E71" s="94"/>
      <c r="F71" s="94"/>
      <c r="G71" s="94"/>
      <c r="H71" s="94"/>
      <c r="I71" s="94"/>
      <c r="J71" s="94"/>
      <c r="K71" s="94"/>
      <c r="L71" s="94"/>
      <c r="M71" s="95"/>
    </row>
    <row r="72" spans="1:13" x14ac:dyDescent="0.25">
      <c r="A72" s="96"/>
      <c r="B72" s="96"/>
      <c r="C72" s="96"/>
      <c r="D72" s="96"/>
      <c r="E72" s="85"/>
      <c r="F72" s="85"/>
      <c r="G72" s="96"/>
      <c r="H72" s="96"/>
      <c r="I72" s="85"/>
      <c r="J72" s="85"/>
      <c r="K72" s="96"/>
      <c r="L72" s="96"/>
      <c r="M72" s="96"/>
    </row>
    <row r="73" spans="1:13" x14ac:dyDescent="0.25">
      <c r="A73" s="96"/>
      <c r="B73" s="96"/>
      <c r="C73" s="96"/>
      <c r="D73" s="96"/>
      <c r="E73" s="85"/>
      <c r="F73" s="85"/>
      <c r="G73" s="96"/>
      <c r="H73" s="96"/>
      <c r="I73" s="85"/>
      <c r="J73" s="85"/>
      <c r="K73" s="96"/>
      <c r="L73" s="96"/>
      <c r="M73" s="96"/>
    </row>
    <row r="74" spans="1:13" x14ac:dyDescent="0.25">
      <c r="A74" s="96"/>
      <c r="B74" s="96"/>
      <c r="C74" s="96"/>
      <c r="D74" s="96"/>
      <c r="E74" s="85"/>
      <c r="F74" s="85"/>
      <c r="G74" s="96"/>
      <c r="H74" s="96"/>
      <c r="I74" s="85"/>
      <c r="J74" s="85"/>
      <c r="K74" s="96"/>
      <c r="L74" s="96"/>
      <c r="M74" s="96"/>
    </row>
    <row r="75" spans="1:13" x14ac:dyDescent="0.25">
      <c r="A75" s="96"/>
      <c r="B75" s="96"/>
      <c r="C75" s="96"/>
      <c r="D75" s="96"/>
      <c r="E75" s="85"/>
      <c r="F75" s="85"/>
      <c r="G75" s="96"/>
      <c r="H75" s="96"/>
      <c r="I75" s="85"/>
      <c r="J75" s="85"/>
      <c r="K75" s="96"/>
      <c r="L75" s="96"/>
      <c r="M75" s="96"/>
    </row>
    <row r="76" spans="1:13" x14ac:dyDescent="0.25">
      <c r="A76" s="96"/>
      <c r="B76" s="96"/>
      <c r="C76" s="96"/>
      <c r="D76" s="96"/>
      <c r="E76" s="85"/>
      <c r="F76" s="85"/>
      <c r="G76" s="96"/>
      <c r="H76" s="96"/>
      <c r="I76" s="85"/>
      <c r="J76" s="85"/>
      <c r="K76" s="96"/>
      <c r="L76" s="96"/>
      <c r="M76" s="96"/>
    </row>
    <row r="77" spans="1:13" ht="15.75" thickBot="1" x14ac:dyDescent="0.3">
      <c r="A77" s="97"/>
      <c r="B77" s="97"/>
      <c r="C77" s="97"/>
      <c r="D77" s="97"/>
      <c r="E77" s="85"/>
      <c r="F77" s="85"/>
      <c r="G77" s="97"/>
      <c r="H77" s="97"/>
      <c r="I77" s="85"/>
      <c r="J77" s="85"/>
      <c r="K77" s="97"/>
      <c r="L77" s="97"/>
      <c r="M77" s="97"/>
    </row>
    <row r="78" spans="1:13" ht="24" customHeight="1" x14ac:dyDescent="0.25">
      <c r="A78" s="84"/>
      <c r="B78" s="84"/>
      <c r="C78" s="84"/>
      <c r="D78" s="84"/>
      <c r="E78" s="85"/>
      <c r="F78" s="85"/>
      <c r="G78" s="86" t="s">
        <v>27</v>
      </c>
      <c r="H78" s="86"/>
      <c r="I78" s="85"/>
      <c r="J78" s="85"/>
      <c r="K78" s="84"/>
      <c r="L78" s="84"/>
      <c r="M78" s="84"/>
    </row>
    <row r="79" spans="1:13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spans="1:13" x14ac:dyDescent="0.25">
      <c r="A80" s="12"/>
      <c r="C80" s="155"/>
      <c r="D80" s="155"/>
      <c r="E80" s="155"/>
      <c r="F80" s="155"/>
      <c r="G80" s="155"/>
      <c r="H80" s="155"/>
      <c r="I80" s="155"/>
      <c r="J80" s="155"/>
    </row>
    <row r="81" spans="6:7" x14ac:dyDescent="0.25">
      <c r="F81" s="151" t="s">
        <v>57</v>
      </c>
      <c r="G81" s="151"/>
    </row>
    <row r="82" spans="6:7" x14ac:dyDescent="0.25"/>
    <row r="83" spans="6:7" x14ac:dyDescent="0.25"/>
  </sheetData>
  <mergeCells count="130">
    <mergeCell ref="B1:K1"/>
    <mergeCell ref="B3:K3"/>
    <mergeCell ref="B5:K5"/>
    <mergeCell ref="B6:C6"/>
    <mergeCell ref="E6:G6"/>
    <mergeCell ref="I6:J6"/>
    <mergeCell ref="B4:K4"/>
    <mergeCell ref="B2:K2"/>
    <mergeCell ref="F81:G81"/>
    <mergeCell ref="A38:M40"/>
    <mergeCell ref="A41:M41"/>
    <mergeCell ref="A60:B64"/>
    <mergeCell ref="A65:B66"/>
    <mergeCell ref="A67:B71"/>
    <mergeCell ref="C80:J80"/>
    <mergeCell ref="I10:M10"/>
    <mergeCell ref="A48:C48"/>
    <mergeCell ref="D48:M48"/>
    <mergeCell ref="A49:M49"/>
    <mergeCell ref="A50:B54"/>
    <mergeCell ref="D45:G47"/>
    <mergeCell ref="A42:M42"/>
    <mergeCell ref="A43:A44"/>
    <mergeCell ref="B43:E44"/>
    <mergeCell ref="J43:L43"/>
    <mergeCell ref="J44:L44"/>
    <mergeCell ref="C9:M9"/>
    <mergeCell ref="B35:D35"/>
    <mergeCell ref="B36:D36"/>
    <mergeCell ref="B37:D37"/>
    <mergeCell ref="E35:M35"/>
    <mergeCell ref="E36:M36"/>
    <mergeCell ref="E37:M37"/>
    <mergeCell ref="B32:D32"/>
    <mergeCell ref="B33:D33"/>
    <mergeCell ref="B34:D34"/>
    <mergeCell ref="E32:M32"/>
    <mergeCell ref="E33:M33"/>
    <mergeCell ref="E34:M34"/>
    <mergeCell ref="B29:D29"/>
    <mergeCell ref="B30:D30"/>
    <mergeCell ref="B31:D31"/>
    <mergeCell ref="A8:M8"/>
    <mergeCell ref="E14:M14"/>
    <mergeCell ref="K11:M11"/>
    <mergeCell ref="K12:M12"/>
    <mergeCell ref="J13:M13"/>
    <mergeCell ref="E15:M15"/>
    <mergeCell ref="E16:M16"/>
    <mergeCell ref="A78:D78"/>
    <mergeCell ref="E78:F78"/>
    <mergeCell ref="G78:H78"/>
    <mergeCell ref="I78:J78"/>
    <mergeCell ref="K78:M78"/>
    <mergeCell ref="C67:M71"/>
    <mergeCell ref="A72:D77"/>
    <mergeCell ref="E72:F77"/>
    <mergeCell ref="G72:H77"/>
    <mergeCell ref="I72:J77"/>
    <mergeCell ref="K72:M77"/>
    <mergeCell ref="C65:M66"/>
    <mergeCell ref="A55:B59"/>
    <mergeCell ref="L45:M47"/>
    <mergeCell ref="F43:G44"/>
    <mergeCell ref="H43:I44"/>
    <mergeCell ref="M43:M44"/>
    <mergeCell ref="E29:M29"/>
    <mergeCell ref="E30:M30"/>
    <mergeCell ref="E31:M31"/>
    <mergeCell ref="B26:D26"/>
    <mergeCell ref="B27:D27"/>
    <mergeCell ref="B28:D28"/>
    <mergeCell ref="E26:M26"/>
    <mergeCell ref="E27:M27"/>
    <mergeCell ref="E28:M28"/>
    <mergeCell ref="A23:A25"/>
    <mergeCell ref="B23:D23"/>
    <mergeCell ref="B24:D24"/>
    <mergeCell ref="B25:D25"/>
    <mergeCell ref="E23:M23"/>
    <mergeCell ref="E24:M24"/>
    <mergeCell ref="E25:M25"/>
    <mergeCell ref="B21:D21"/>
    <mergeCell ref="B22:D22"/>
    <mergeCell ref="B20:D20"/>
    <mergeCell ref="E20:M20"/>
    <mergeCell ref="E21:M21"/>
    <mergeCell ref="E22:M22"/>
    <mergeCell ref="B17:D17"/>
    <mergeCell ref="B18:D18"/>
    <mergeCell ref="B19:D19"/>
    <mergeCell ref="E17:M17"/>
    <mergeCell ref="E18:M18"/>
    <mergeCell ref="E19:M19"/>
    <mergeCell ref="C64:M64"/>
    <mergeCell ref="A9:B9"/>
    <mergeCell ref="A10:B10"/>
    <mergeCell ref="C10:G10"/>
    <mergeCell ref="C50:M50"/>
    <mergeCell ref="C51:M51"/>
    <mergeCell ref="C52:M52"/>
    <mergeCell ref="C53:M53"/>
    <mergeCell ref="C54:M54"/>
    <mergeCell ref="C55:M55"/>
    <mergeCell ref="A13:B13"/>
    <mergeCell ref="C13:F13"/>
    <mergeCell ref="G13:I13"/>
    <mergeCell ref="A14:A22"/>
    <mergeCell ref="B14:D14"/>
    <mergeCell ref="B15:D15"/>
    <mergeCell ref="B16:D16"/>
    <mergeCell ref="A11:B11"/>
    <mergeCell ref="C11:H11"/>
    <mergeCell ref="I11:J11"/>
    <mergeCell ref="A12:B12"/>
    <mergeCell ref="D12:E12"/>
    <mergeCell ref="F12:G12"/>
    <mergeCell ref="I12:J12"/>
    <mergeCell ref="A45:C47"/>
    <mergeCell ref="C56:M56"/>
    <mergeCell ref="C57:M57"/>
    <mergeCell ref="C58:M58"/>
    <mergeCell ref="C59:M59"/>
    <mergeCell ref="C60:M60"/>
    <mergeCell ref="C61:M61"/>
    <mergeCell ref="C62:M62"/>
    <mergeCell ref="C63:M63"/>
    <mergeCell ref="H45:K45"/>
    <mergeCell ref="H46:K46"/>
    <mergeCell ref="H47:K47"/>
  </mergeCells>
  <conditionalFormatting sqref="A78:D78">
    <cfRule type="containsBlanks" dxfId="3" priority="2">
      <formula>LEN(TRIM(A78))=0</formula>
    </cfRule>
  </conditionalFormatting>
  <conditionalFormatting sqref="C80">
    <cfRule type="containsBlanks" dxfId="2" priority="3">
      <formula>LEN(TRIM(C80))=0</formula>
    </cfRule>
  </conditionalFormatting>
  <conditionalFormatting sqref="I10:M10 C11:H11 K11:M11 J13:M13 E14:M22 E26:M34 B43:E44 H43:I44 M43:M44 D45:G47 L45:M47 C50:C64 C65:M71">
    <cfRule type="containsBlanks" dxfId="1" priority="4">
      <formula>LEN(TRIM(B10))=0</formula>
    </cfRule>
  </conditionalFormatting>
  <conditionalFormatting sqref="K78:M78">
    <cfRule type="containsBlanks" dxfId="0" priority="1">
      <formula>LEN(TRIM(K78))=0</formula>
    </cfRule>
  </conditionalFormatting>
  <dataValidations xWindow="1033" yWindow="481" count="36">
    <dataValidation allowBlank="1" showInputMessage="1" showErrorMessage="1" prompt="Indicar el nivel formativo en el cual se encuentra el aprendiz. Técnio o Tecnólogo" sqref="I10:M10" xr:uid="{FDFD4240-B4E4-40FA-8880-3E4E045C5084}"/>
    <dataValidation allowBlank="1" showInputMessage="1" showErrorMessage="1" promptTitle="Número Ficha" prompt="Registre el número de ficha en el que se encuentra matriculado según el programa de formación." sqref="K11:M11" xr:uid="{C295E52F-E427-4103-89DB-18FF195E95C6}"/>
    <dataValidation allowBlank="1" showInputMessage="1" showErrorMessage="1" promptTitle="Fin Etapa Lectiva" prompt="Registrar la fecha de culminación de la etapa lectiva del aprendiz." sqref="J13:M13" xr:uid="{5EB3E1EF-1E32-4E95-8D18-C01EA7CF4F61}"/>
    <dataValidation allowBlank="1" showInputMessage="1" showErrorMessage="1" prompt="Registrar nombre del aprendiz como aparece en su documento de identificación." sqref="E14:M14" xr:uid="{9B40B093-9C34-4E63-9F64-4BFF88393B31}"/>
    <dataValidation allowBlank="1" showInputMessage="1" showErrorMessage="1" promptTitle="Tipo Documento Identificación" prompt="Este tipo de documento debe coincidir con las opciones de identificación descritas en el aplicativo Sofia Plus (NUIP, TI, CC, CE, PEP). " sqref="E15:M15" xr:uid="{DA947DA3-FB5C-4D1A-942B-8548E48311E3}"/>
    <dataValidation allowBlank="1" showInputMessage="1" showErrorMessage="1" prompt="Registrar el número de identificación del aprendiz SIN puntos, comas o espacios" sqref="E16:M16" xr:uid="{26796309-EF62-4852-B260-C64A329B6E61}"/>
    <dataValidation allowBlank="1" showInputMessage="1" showErrorMessage="1" prompt="Registrar teléfonos fijo y celular del aprendiz u otro número de contacto." sqref="E17:M17" xr:uid="{227D64D5-7E2E-48B5-834F-26D52CA83B47}"/>
    <dataValidation allowBlank="1" showInputMessage="1" showErrorMessage="1" prompt="Ingrese la dirección residencial actual de correspondencia del aprendiz." sqref="E18:M18" xr:uid="{EC33A478-21D0-417A-960A-07B663B862B0}"/>
    <dataValidation allowBlank="1" showInputMessage="1" showErrorMessage="1" prompt="Registrar el correo electrónico personal del aprendiz" sqref="E19:M19" xr:uid="{CEDF05F3-A498-464C-AF78-C83490E95D67}"/>
    <dataValidation allowBlank="1" showInputMessage="1" showErrorMessage="1" prompt="Registrar el correo electrónico institucional del aprendiz @sena.edu.co , @soysena.edu.co" sqref="E20:M20" xr:uid="{8AC0CC91-D06D-4D82-A06B-CEDFF66185FC}"/>
    <dataValidation allowBlank="1" showInputMessage="1" showErrorMessage="1" prompt="Registrar el nombre de la alternativa de etapa productiva, de acuerdo con las alternativas descritas en el reglamento del aprendiz vigente" sqref="E21:M21" xr:uid="{48CA359C-CBBE-4B45-B681-EA4693D12177}"/>
    <dataValidation allowBlank="1" showInputMessage="1" showErrorMessage="1" promptTitle="OBLIGATORIO" prompt="Indicar la fecha de registro en el aplicativo SofiaPlus. RUTA: INGRESAR A SOFIAPLUS-APRENDIZ-CONSULTAR INSCRIPCIONES A PROGRAMAS...----DETALLE DE INSCRIPCION // PARTE INFWERIOR INDICA LA FECHA DE INSCRIPCION" sqref="E22:M22" xr:uid="{A4B53DE5-4CEE-4C8C-A08B-9C6344C18954}"/>
    <dataValidation allowBlank="1" showInputMessage="1" showErrorMessage="1" prompt="Registrar el nombre completo de la empresa o entidad co-formadora (empresa, entidad o institución gubernamental o no gubernamental)." sqref="E26:M26" xr:uid="{35AC5BC6-659F-4E4C-B567-3C3F16C509BD}"/>
    <dataValidation allowBlank="1" showInputMessage="1" showErrorMessage="1" prompt="Registrar la dirección de la empresa, entidad o institución gubernamental o no gubernamental." sqref="E27:M27" xr:uid="{18FD205E-10DD-4EB5-8E57-F8B0C00BF5BC}"/>
    <dataValidation allowBlank="1" showInputMessage="1" showErrorMessage="1" prompt="Registrar el numero NIT de la empresa, entidad o institución gubernamental o no gubernamental." sqref="E28:M28" xr:uid="{0E9499EA-A21D-4209-94F0-6561C0BEA458}"/>
    <dataValidation allowBlank="1" showInputMessage="1" showErrorMessage="1" prompt="Registrar el correo organizacional o institucional del jefe inmediato." sqref="E29:M29" xr:uid="{F7B09C4A-6282-4561-9C6E-128034419E72}"/>
    <dataValidation allowBlank="1" showInputMessage="1" showErrorMessage="1" prompt="Registrar el nombre del jefe inmediato o quien va a supervisar las actividades del aprendiz en la empresa. En caso de estar participando en una convocatoria de proyecto productivo, aquí se registran los datos del instructor de proyecto productivo." sqref="E30:M30" xr:uid="{3F1EE247-C76F-4BD4-A0A3-6B6F02F83B03}"/>
    <dataValidation allowBlank="1" showInputMessage="1" showErrorMessage="1" prompt="Registrar el cargo del jefe inmediato dentro de la empresa" sqref="E31:M31" xr:uid="{44C4A18A-BD9D-4153-94CA-F617EBC7DCBA}"/>
    <dataValidation allowBlank="1" showInputMessage="1" showErrorMessage="1" prompt="Registrar el número del celular del jefe inmediato o supervisor y el número fijo de la empresa con extensión" sqref="E32:M32" xr:uid="{D17896B5-5299-404D-BF06-0A7409E6BB11}"/>
    <dataValidation allowBlank="1" showInputMessage="1" showErrorMessage="1" prompt="En caso de que aplique, registrar el nombre de otro contacto en la empresa. De no tener digitar N/A" sqref="E33:M33" xr:uid="{A6F4976B-257F-4E38-96A4-122163F2BCDA}"/>
    <dataValidation allowBlank="1" showInputMessage="1" showErrorMessage="1" prompt="Registrar el teléfono institucional al cual contactarse en caso que el ente coformador no responda" sqref="E34:M34" xr:uid="{A593241B-15E7-4EA6-B9DE-E0DF01ED6DB9}"/>
    <dataValidation allowBlank="1" showInputMessage="1" showErrorMessage="1" promptTitle="Si no aplica Colocar N/A" prompt="En caso de que el aprendiz sea una persona en situación de discapacidad, diligencie este espacio con el nombre de la persona que le asiste." sqref="E35:M35" xr:uid="{C19946D2-B571-4104-A1EA-FEF5A7253596}"/>
    <dataValidation allowBlank="1" showInputMessage="1" showErrorMessage="1" promptTitle="Si no aplica colocar N/A" prompt="Aquí se especifica el tipo de asistencia brindada al aprendiz para que desempeñe la totalidad de sus tareas asegurando un ambiente laboral inclusivo adecuado a sus necesidades. Puede incluir asistencias como lenguaje de señas, soporte visual etc" sqref="E36:M36" xr:uid="{B635F5F5-108B-409C-BCAD-0AA5A654CF02}"/>
    <dataValidation allowBlank="1" showInputMessage="1" showErrorMessage="1" promptTitle="Si no aplica colocar N/A" prompt="Registrar el número del celular de la persona que asiste al aprendiz " sqref="E37:M37" xr:uid="{77AEF51E-4966-4ADA-B94D-7E72C6BE4FFA}"/>
    <dataValidation allowBlank="1" showInputMessage="1" showErrorMessage="1" prompt="Indicar la fecha Inicial de ejecución de la etapa productiva del aprendiz,  La cual se encuentra registrada en el sistema de gestión académico administrativo" sqref="B43:E44" xr:uid="{ADDD56B1-A1AE-4F35-A152-F9DAB746A3F8}"/>
    <dataValidation allowBlank="1" showInputMessage="1" showErrorMessage="1" prompt="Indicar la fecha fin de ejecución de la etapa productiva del aprendiz,  La cual se encuentra registrada en el sistema de gestión académico administrativo" sqref="H43:I44" xr:uid="{A2994507-EBC1-4758-8D2D-041DB7D68E81}"/>
    <dataValidation allowBlank="1" showInputMessage="1" showErrorMessage="1" promptTitle="OBLIGATORIO" prompt="Indicar la fecha de afiliación en la ARL realizada por el centro de formación o la empresa, solo aplica para aprendices que se encuentren en Colombia." sqref="M43:M44" xr:uid="{0E74721C-02A8-4123-BB25-E650EFDE799B}"/>
    <dataValidation allowBlank="1" showInputMessage="1" showErrorMessage="1" promptTitle="OBLIGATORIO consultar con RR.HH." prompt="Indicar el número de póliza que se registra en la ARL. SI NO LO REGISTRA EL FORMATO SERA DEVUELTO " sqref="D45:G47" xr:uid="{AEDBE09E-E16B-4102-8DD1-046357FA9976}"/>
    <dataValidation allowBlank="1" showInputMessage="1" showErrorMessage="1" prompt="Registrar el horario en el cual el aprendiz ejecutará su etapa productiva." sqref="L45:M47" xr:uid="{22678B76-AB93-48B7-B0CA-9F11DDE08012}"/>
    <dataValidation allowBlank="1" showInputMessage="1" showErrorMessage="1" prompt="Adjuntar enlace de grabacion de la sesion, el enlace le llaga al aprendiz por correo de la citacion." sqref="D48:M48" xr:uid="{81EA4BA8-6491-4C84-9D5E-95D4DAC042D4}"/>
    <dataValidation allowBlank="1" showInputMessage="1" showErrorMessage="1" prompt="Relacione las actividades que el aprendiz va a realizar según lo acordado. (Estas deben corresponder al perfil del egresado establecido en el programa de formación que el aprendiz está desarrollando.) redactar activ. en  verbos en infinitivo" sqref="C60:C64" xr:uid="{765A44AD-7EE4-4C8A-82B9-AEB337B3CBFF}"/>
    <dataValidation allowBlank="1" showInputMessage="1" showErrorMessage="1" prompt="Describa las evidencias o entregables que se van a generar de acuerdo con las actividades a desarrollar. En este apartado adicionalmente, es importante definir si dichas evidencias serán entregadas de manera digital o física. " sqref="C65:M66" xr:uid="{6D49D6E6-6363-4D06-90B1-78A757068CEE}"/>
    <dataValidation allowBlank="1" showInputMessage="1" showErrorMessage="1" prompt="Registre los comentarios que considere pertinentes en relación a la visita correspondiente. " sqref="C67:M71" xr:uid="{08D354B0-14A2-4554-94A3-2633D73D772A}"/>
    <dataValidation allowBlank="1" showInputMessage="1" showErrorMessage="1" promptTitle="OBLIGATORIO NOMBRE Y FIRMA APREN" prompt="Registrar el nombre completo del aprendiz y en la parte superior la Firma manuscrita o digital." sqref="A78:D78" xr:uid="{A7FEFB2B-7370-4FA2-8820-7EB89B730FD1}"/>
    <dataValidation allowBlank="1" showInputMessage="1" showErrorMessage="1" promptTitle="OBLIGATORIO NOMBRE Y FIRMA JEFE" prompt="Registrar el nombre completo del co-formador y en la parte superior de esta la Firma manuscrita o digital." sqref="K78:M78" xr:uid="{DAE2A968-2309-42D5-952C-BC599D7BE50F}"/>
    <dataValidation allowBlank="1" showInputMessage="1" showErrorMessage="1" promptTitle="Bogotá dd/mm/aaaa   virtual" prompt="Diligenciar fecha de la sesión en este espacio. Ejemplo: Bogotá dia/mes/año Virtual" sqref="C80:J80" xr:uid="{201095D8-80DA-45BB-84F9-D066E44DB3C5}"/>
  </dataValidations>
  <pageMargins left="0.23622047244094491" right="0.23622047244094491" top="0.74803149606299213" bottom="0.74803149606299213" header="0.31496062992125984" footer="0.31496062992125984"/>
  <pageSetup paperSize="5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xWindow="1033" yWindow="481" count="7">
        <x14:dataValidation type="list" allowBlank="1" showInputMessage="1" showErrorMessage="1" promptTitle="Seleccionael nombre del programa" prompt="Elige el programa de la lista desplegable" xr:uid="{34EF5BAD-650F-4FA7-AB25-B4A5694BB4C0}">
          <x14:formula1>
            <xm:f>_xlfn.ANCHORARRAY(BD_SENA!$E$2)</xm:f>
          </x14:formula1>
          <xm:sqref>C11:H11</xm:sqref>
        </x14:dataValidation>
        <x14:dataValidation type="list" allowBlank="1" showInputMessage="1" showErrorMessage="1" prompt="Selecciona del listado las competencias tecnicas que se van a desarrollar a lo largo de la etapa productiva. minimo 3" xr:uid="{22B88745-2B8F-40B6-8916-320FA089DFCF}">
          <x14:formula1>
            <xm:f>_xlfn.ANCHORARRAY(BD_SENA!$F$2)</xm:f>
          </x14:formula1>
          <xm:sqref>C50:M54</xm:sqref>
        </x14:dataValidation>
        <x14:dataValidation type="list" allowBlank="1" showInputMessage="1" showErrorMessage="1" prompt="Relacione el o los resultados de aprendizaje de las competencias que van a desarrollarse." xr:uid="{1DCCDD3C-B075-4833-878D-65AC808D9E9F}">
          <x14:formula1>
            <xm:f>_xlfn.ANCHORARRAY(BD_SENA!$G$2)</xm:f>
          </x14:formula1>
          <xm:sqref>C55:M55</xm:sqref>
        </x14:dataValidation>
        <x14:dataValidation type="list" allowBlank="1" showInputMessage="1" showErrorMessage="1" prompt="Relacione el o los resultados de aprendizaje de las competencias que van a desarrollarse." xr:uid="{934278D6-6E18-4E97-BCEF-064F63567755}">
          <x14:formula1>
            <xm:f>_xlfn.ANCHORARRAY(BD_SENA!$H$2)</xm:f>
          </x14:formula1>
          <xm:sqref>C56:M56</xm:sqref>
        </x14:dataValidation>
        <x14:dataValidation type="list" allowBlank="1" showInputMessage="1" showErrorMessage="1" prompt="Relacione el o los resultados de aprendizaje de las competencias que van a desarrollarse." xr:uid="{0CE56376-096C-4566-B3AF-5321973F5724}">
          <x14:formula1>
            <xm:f>_xlfn.ANCHORARRAY(BD_SENA!$I$2)</xm:f>
          </x14:formula1>
          <xm:sqref>C57:M57</xm:sqref>
        </x14:dataValidation>
        <x14:dataValidation type="list" allowBlank="1" showInputMessage="1" showErrorMessage="1" prompt="Relacione el o los resultados de aprendizaje de las competencias que van a desarrollarse." xr:uid="{DD57E66E-4FD0-4B6F-8647-729A07AB846F}">
          <x14:formula1>
            <xm:f>_xlfn.ANCHORARRAY(BD_SENA!$J$2)</xm:f>
          </x14:formula1>
          <xm:sqref>C58:M58</xm:sqref>
        </x14:dataValidation>
        <x14:dataValidation type="list" allowBlank="1" showInputMessage="1" showErrorMessage="1" prompt="Relacione el o los resultados de aprendizaje de las competencias que van a desarrollarse." xr:uid="{8550080C-D284-4509-8ED8-32A50ECC2F74}">
          <x14:formula1>
            <xm:f>_xlfn.ANCHORARRAY(BD_SENA!$K$2)</xm:f>
          </x14:formula1>
          <xm:sqref>C59:M59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173F-65B3-42A2-858E-B1F5ED8A47CB}">
  <dimension ref="A1:K39"/>
  <sheetViews>
    <sheetView topLeftCell="B2" workbookViewId="0">
      <selection activeCell="K3" sqref="K3"/>
    </sheetView>
  </sheetViews>
  <sheetFormatPr baseColWidth="10" defaultRowHeight="15" x14ac:dyDescent="0.25"/>
  <cols>
    <col min="1" max="1" width="17.42578125" customWidth="1"/>
    <col min="2" max="2" width="58.7109375" customWidth="1"/>
    <col min="3" max="3" width="133" customWidth="1"/>
    <col min="5" max="5" width="29.28515625" customWidth="1"/>
    <col min="6" max="6" width="23" customWidth="1"/>
    <col min="7" max="7" width="10.140625" customWidth="1"/>
  </cols>
  <sheetData>
    <row r="1" spans="1:11" ht="15.75" thickBot="1" x14ac:dyDescent="0.3">
      <c r="A1" s="16" t="s">
        <v>60</v>
      </c>
      <c r="B1" s="17" t="s">
        <v>61</v>
      </c>
      <c r="C1" s="18" t="s">
        <v>62</v>
      </c>
    </row>
    <row r="2" spans="1:11" ht="39" thickBot="1" x14ac:dyDescent="0.3">
      <c r="A2" s="14" t="s">
        <v>58</v>
      </c>
      <c r="B2" s="13" t="s">
        <v>63</v>
      </c>
      <c r="C2" s="15" t="s">
        <v>64</v>
      </c>
      <c r="E2" t="str" cm="1">
        <f t="array" ref="E2:E3">_xlfn.UNIQUE(TablaSena[PROGRAMA])</f>
        <v>Análisis y Desarrollo de Software</v>
      </c>
      <c r="F2" t="str" cm="1">
        <f t="array" ref="F2">_xlfn.UNIQUE(_xlfn._xlws.FILTER(TablaSena[COMPETENCIA], TablaSena[PROGRAMA]='Formato Visita 1'!$C$11, "Seleccione Programa"))</f>
        <v>Seleccione Programa</v>
      </c>
      <c r="G2" t="str" cm="1">
        <f t="array" ref="G2">_xlfn._xlws.FILTER(TablaSena[RESULTADO DE APRENDIZAJE (RAP)], TablaSena[COMPETENCIA]='Formato Visita 1'!$C$50, "...")</f>
        <v>...</v>
      </c>
      <c r="H2" t="str" cm="1">
        <f t="array" ref="H2">_xlfn._xlws.FILTER(TablaSena[RESULTADO DE APRENDIZAJE (RAP)], TablaSena[COMPETENCIA]='Formato Visita 1'!$C$51, "...")</f>
        <v>...</v>
      </c>
      <c r="I2" t="str" cm="1">
        <f t="array" ref="I2">_xlfn._xlws.FILTER(TablaSena[RESULTADO DE APRENDIZAJE (RAP)], TablaSena[COMPETENCIA]='Formato Visita 1'!$C$52, "...")</f>
        <v>...</v>
      </c>
      <c r="J2" t="str" cm="1">
        <f t="array" ref="J2">_xlfn._xlws.FILTER(TablaSena[RESULTADO DE APRENDIZAJE (RAP)], TablaSena[COMPETENCIA]='Formato Visita 1'!$C$53, "...")</f>
        <v>...</v>
      </c>
      <c r="K2" t="str" cm="1">
        <f t="array" ref="K2">_xlfn._xlws.FILTER(TablaSena[RESULTADO DE APRENDIZAJE (RAP)], TablaSena[COMPETENCIA]='Formato Visita 1'!$C$54, "...")</f>
        <v>...</v>
      </c>
    </row>
    <row r="3" spans="1:11" ht="39" thickBot="1" x14ac:dyDescent="0.3">
      <c r="A3" s="14" t="s">
        <v>58</v>
      </c>
      <c r="B3" s="13" t="s">
        <v>63</v>
      </c>
      <c r="C3" s="15" t="s">
        <v>65</v>
      </c>
      <c r="E3" t="str">
        <v>Programación de Software</v>
      </c>
    </row>
    <row r="4" spans="1:11" ht="39" thickBot="1" x14ac:dyDescent="0.3">
      <c r="A4" s="14" t="s">
        <v>58</v>
      </c>
      <c r="B4" s="13" t="s">
        <v>63</v>
      </c>
      <c r="C4" s="15" t="s">
        <v>66</v>
      </c>
    </row>
    <row r="5" spans="1:11" ht="39" thickBot="1" x14ac:dyDescent="0.3">
      <c r="A5" s="14" t="s">
        <v>58</v>
      </c>
      <c r="B5" s="13" t="s">
        <v>63</v>
      </c>
      <c r="C5" s="15" t="s">
        <v>67</v>
      </c>
    </row>
    <row r="6" spans="1:11" ht="39" thickBot="1" x14ac:dyDescent="0.3">
      <c r="A6" s="14" t="s">
        <v>58</v>
      </c>
      <c r="B6" s="13" t="s">
        <v>68</v>
      </c>
      <c r="C6" s="15" t="s">
        <v>69</v>
      </c>
    </row>
    <row r="7" spans="1:11" ht="39" thickBot="1" x14ac:dyDescent="0.3">
      <c r="A7" s="14" t="s">
        <v>58</v>
      </c>
      <c r="B7" s="13" t="s">
        <v>68</v>
      </c>
      <c r="C7" s="15" t="s">
        <v>70</v>
      </c>
    </row>
    <row r="8" spans="1:11" ht="39" thickBot="1" x14ac:dyDescent="0.3">
      <c r="A8" s="14" t="s">
        <v>58</v>
      </c>
      <c r="B8" s="13" t="s">
        <v>68</v>
      </c>
      <c r="C8" s="15" t="s">
        <v>71</v>
      </c>
    </row>
    <row r="9" spans="1:11" ht="39" thickBot="1" x14ac:dyDescent="0.3">
      <c r="A9" s="14" t="s">
        <v>58</v>
      </c>
      <c r="B9" s="13" t="s">
        <v>68</v>
      </c>
      <c r="C9" s="15" t="s">
        <v>83</v>
      </c>
    </row>
    <row r="10" spans="1:11" ht="39" thickBot="1" x14ac:dyDescent="0.3">
      <c r="A10" s="14" t="s">
        <v>58</v>
      </c>
      <c r="B10" s="13" t="s">
        <v>72</v>
      </c>
      <c r="C10" s="15" t="s">
        <v>73</v>
      </c>
    </row>
    <row r="11" spans="1:11" ht="39" thickBot="1" x14ac:dyDescent="0.3">
      <c r="A11" s="14" t="s">
        <v>58</v>
      </c>
      <c r="B11" s="13" t="s">
        <v>72</v>
      </c>
      <c r="C11" s="15" t="s">
        <v>74</v>
      </c>
    </row>
    <row r="12" spans="1:11" ht="39" thickBot="1" x14ac:dyDescent="0.3">
      <c r="A12" s="14" t="s">
        <v>58</v>
      </c>
      <c r="B12" s="13" t="s">
        <v>72</v>
      </c>
      <c r="C12" s="15" t="s">
        <v>84</v>
      </c>
    </row>
    <row r="13" spans="1:11" ht="39" thickBot="1" x14ac:dyDescent="0.3">
      <c r="A13" s="14" t="s">
        <v>58</v>
      </c>
      <c r="B13" s="13" t="s">
        <v>72</v>
      </c>
      <c r="C13" s="15" t="s">
        <v>85</v>
      </c>
    </row>
    <row r="14" spans="1:11" ht="39" thickBot="1" x14ac:dyDescent="0.3">
      <c r="A14" s="14" t="s">
        <v>58</v>
      </c>
      <c r="B14" s="13" t="s">
        <v>75</v>
      </c>
      <c r="C14" s="15" t="s">
        <v>76</v>
      </c>
    </row>
    <row r="15" spans="1:11" ht="39" thickBot="1" x14ac:dyDescent="0.3">
      <c r="A15" s="14" t="s">
        <v>58</v>
      </c>
      <c r="B15" s="13" t="s">
        <v>75</v>
      </c>
      <c r="C15" s="15" t="s">
        <v>86</v>
      </c>
    </row>
    <row r="16" spans="1:11" ht="39" thickBot="1" x14ac:dyDescent="0.3">
      <c r="A16" s="14" t="s">
        <v>58</v>
      </c>
      <c r="B16" s="13" t="s">
        <v>75</v>
      </c>
      <c r="C16" s="15" t="s">
        <v>87</v>
      </c>
    </row>
    <row r="17" spans="1:3" ht="39" thickBot="1" x14ac:dyDescent="0.3">
      <c r="A17" s="14" t="s">
        <v>58</v>
      </c>
      <c r="B17" s="13" t="s">
        <v>75</v>
      </c>
      <c r="C17" s="15" t="s">
        <v>77</v>
      </c>
    </row>
    <row r="18" spans="1:3" ht="39" thickBot="1" x14ac:dyDescent="0.3">
      <c r="A18" s="14" t="s">
        <v>58</v>
      </c>
      <c r="B18" s="13" t="s">
        <v>75</v>
      </c>
      <c r="C18" s="15" t="s">
        <v>88</v>
      </c>
    </row>
    <row r="19" spans="1:3" ht="39" thickBot="1" x14ac:dyDescent="0.3">
      <c r="A19" s="14" t="s">
        <v>58</v>
      </c>
      <c r="B19" s="13" t="s">
        <v>89</v>
      </c>
      <c r="C19" s="15" t="s">
        <v>90</v>
      </c>
    </row>
    <row r="20" spans="1:3" ht="39" thickBot="1" x14ac:dyDescent="0.3">
      <c r="A20" s="14" t="s">
        <v>58</v>
      </c>
      <c r="B20" s="13" t="s">
        <v>89</v>
      </c>
      <c r="C20" s="15" t="s">
        <v>91</v>
      </c>
    </row>
    <row r="21" spans="1:3" ht="39" thickBot="1" x14ac:dyDescent="0.3">
      <c r="A21" s="14" t="s">
        <v>58</v>
      </c>
      <c r="B21" s="13" t="s">
        <v>89</v>
      </c>
      <c r="C21" s="15" t="s">
        <v>92</v>
      </c>
    </row>
    <row r="22" spans="1:3" ht="39" thickBot="1" x14ac:dyDescent="0.3">
      <c r="A22" s="14" t="s">
        <v>58</v>
      </c>
      <c r="B22" s="13" t="s">
        <v>93</v>
      </c>
      <c r="C22" s="15" t="s">
        <v>94</v>
      </c>
    </row>
    <row r="23" spans="1:3" ht="39" thickBot="1" x14ac:dyDescent="0.3">
      <c r="A23" s="14" t="s">
        <v>58</v>
      </c>
      <c r="B23" s="13" t="s">
        <v>93</v>
      </c>
      <c r="C23" s="15" t="s">
        <v>95</v>
      </c>
    </row>
    <row r="24" spans="1:3" ht="39" thickBot="1" x14ac:dyDescent="0.3">
      <c r="A24" s="14" t="s">
        <v>58</v>
      </c>
      <c r="B24" s="13" t="s">
        <v>96</v>
      </c>
      <c r="C24" s="15" t="s">
        <v>97</v>
      </c>
    </row>
    <row r="25" spans="1:3" ht="39" thickBot="1" x14ac:dyDescent="0.3">
      <c r="A25" s="14" t="s">
        <v>58</v>
      </c>
      <c r="B25" s="13" t="s">
        <v>96</v>
      </c>
      <c r="C25" s="15" t="s">
        <v>98</v>
      </c>
    </row>
    <row r="26" spans="1:3" ht="39" thickBot="1" x14ac:dyDescent="0.3">
      <c r="A26" s="14" t="s">
        <v>58</v>
      </c>
      <c r="B26" s="13" t="s">
        <v>96</v>
      </c>
      <c r="C26" s="15" t="s">
        <v>99</v>
      </c>
    </row>
    <row r="27" spans="1:3" ht="39" thickBot="1" x14ac:dyDescent="0.3">
      <c r="A27" s="14" t="s">
        <v>58</v>
      </c>
      <c r="B27" s="13" t="s">
        <v>96</v>
      </c>
      <c r="C27" s="15" t="s">
        <v>100</v>
      </c>
    </row>
    <row r="28" spans="1:3" ht="26.25" thickBot="1" x14ac:dyDescent="0.3">
      <c r="A28" s="14" t="s">
        <v>59</v>
      </c>
      <c r="B28" s="13" t="s">
        <v>78</v>
      </c>
      <c r="C28" s="15" t="s">
        <v>79</v>
      </c>
    </row>
    <row r="29" spans="1:3" ht="26.25" thickBot="1" x14ac:dyDescent="0.3">
      <c r="A29" s="14" t="s">
        <v>59</v>
      </c>
      <c r="B29" s="13" t="s">
        <v>78</v>
      </c>
      <c r="C29" s="15" t="s">
        <v>80</v>
      </c>
    </row>
    <row r="30" spans="1:3" ht="26.25" thickBot="1" x14ac:dyDescent="0.3">
      <c r="A30" s="14" t="s">
        <v>59</v>
      </c>
      <c r="B30" s="13" t="s">
        <v>78</v>
      </c>
      <c r="C30" s="15" t="s">
        <v>101</v>
      </c>
    </row>
    <row r="31" spans="1:3" ht="26.25" thickBot="1" x14ac:dyDescent="0.3">
      <c r="A31" s="14" t="s">
        <v>59</v>
      </c>
      <c r="B31" s="13" t="s">
        <v>78</v>
      </c>
      <c r="C31" s="15" t="s">
        <v>102</v>
      </c>
    </row>
    <row r="32" spans="1:3" ht="26.25" thickBot="1" x14ac:dyDescent="0.3">
      <c r="A32" s="14" t="s">
        <v>59</v>
      </c>
      <c r="B32" s="13" t="s">
        <v>81</v>
      </c>
      <c r="C32" s="15" t="s">
        <v>82</v>
      </c>
    </row>
    <row r="33" spans="1:3" ht="26.25" thickBot="1" x14ac:dyDescent="0.3">
      <c r="A33" s="14" t="s">
        <v>59</v>
      </c>
      <c r="B33" s="13" t="s">
        <v>81</v>
      </c>
      <c r="C33" s="15" t="s">
        <v>103</v>
      </c>
    </row>
    <row r="34" spans="1:3" ht="26.25" thickBot="1" x14ac:dyDescent="0.3">
      <c r="A34" s="14" t="s">
        <v>59</v>
      </c>
      <c r="B34" s="13" t="s">
        <v>81</v>
      </c>
      <c r="C34" s="15" t="s">
        <v>104</v>
      </c>
    </row>
    <row r="35" spans="1:3" ht="26.25" thickBot="1" x14ac:dyDescent="0.3">
      <c r="A35" s="14" t="s">
        <v>59</v>
      </c>
      <c r="B35" s="13" t="s">
        <v>105</v>
      </c>
      <c r="C35" s="15" t="s">
        <v>106</v>
      </c>
    </row>
    <row r="36" spans="1:3" ht="26.25" thickBot="1" x14ac:dyDescent="0.3">
      <c r="A36" s="14" t="s">
        <v>59</v>
      </c>
      <c r="B36" s="13" t="s">
        <v>105</v>
      </c>
      <c r="C36" s="15" t="s">
        <v>107</v>
      </c>
    </row>
    <row r="37" spans="1:3" ht="26.25" thickBot="1" x14ac:dyDescent="0.3">
      <c r="A37" s="14" t="s">
        <v>59</v>
      </c>
      <c r="B37" s="13" t="s">
        <v>108</v>
      </c>
      <c r="C37" s="15" t="s">
        <v>109</v>
      </c>
    </row>
    <row r="38" spans="1:3" ht="26.25" thickBot="1" x14ac:dyDescent="0.3">
      <c r="A38" s="14" t="s">
        <v>59</v>
      </c>
      <c r="B38" s="13" t="s">
        <v>108</v>
      </c>
      <c r="C38" s="15" t="s">
        <v>110</v>
      </c>
    </row>
    <row r="39" spans="1:3" ht="25.5" x14ac:dyDescent="0.25">
      <c r="A39" s="19" t="s">
        <v>59</v>
      </c>
      <c r="B39" s="20" t="s">
        <v>111</v>
      </c>
      <c r="C39" s="21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Visita 1</vt:lpstr>
      <vt:lpstr>BD_SENA</vt:lpstr>
      <vt:lpstr>'Formato Visita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Torres Martínez</dc:creator>
  <cp:lastModifiedBy>SERGIO ANDRES TORRES MARTINEZ</cp:lastModifiedBy>
  <cp:lastPrinted>2026-08-15T01:38:51Z</cp:lastPrinted>
  <dcterms:created xsi:type="dcterms:W3CDTF">2026-02-11T00:01:58Z</dcterms:created>
  <dcterms:modified xsi:type="dcterms:W3CDTF">2026-08-15T01:55:59Z</dcterms:modified>
</cp:coreProperties>
</file>